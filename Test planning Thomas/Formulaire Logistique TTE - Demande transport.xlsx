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emotech.sharepoint.com/sites/IntranetTTE/Documents partages/General/1 - Formulaire vierge/"/>
    </mc:Choice>
  </mc:AlternateContent>
  <xr:revisionPtr revIDLastSave="4" documentId="13_ncr:1_{AA0EE53E-E0CA-4817-B4FF-434153032CDE}" xr6:coauthVersionLast="47" xr6:coauthVersionMax="47" xr10:uidLastSave="{004A587B-11C3-4D56-90C9-F574C5524EC0}"/>
  <bookViews>
    <workbookView xWindow="-28920" yWindow="-3735" windowWidth="29040" windowHeight="17520" xr2:uid="{00000000-000D-0000-FFFF-FFFF00000000}"/>
  </bookViews>
  <sheets>
    <sheet name="Feuil1" sheetId="1" r:id="rId1"/>
    <sheet name="Feuil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F41" i="1"/>
  <c r="F40" i="1"/>
</calcChain>
</file>

<file path=xl/sharedStrings.xml><?xml version="1.0" encoding="utf-8"?>
<sst xmlns="http://schemas.openxmlformats.org/spreadsheetml/2006/main" count="183" uniqueCount="167">
  <si>
    <t>MàJ 20/10/2025</t>
  </si>
  <si>
    <t>DEMANDE PRESTATION</t>
  </si>
  <si>
    <t>Demandé par :</t>
  </si>
  <si>
    <t>Logistique</t>
  </si>
  <si>
    <t>Date :</t>
  </si>
  <si>
    <t>Client :</t>
  </si>
  <si>
    <t>N° affaire :</t>
  </si>
  <si>
    <t>T</t>
  </si>
  <si>
    <t>Matériel :</t>
  </si>
  <si>
    <t>Adresse enlèvement</t>
  </si>
  <si>
    <t xml:space="preserve">HERCO Wassertechnik GmbH </t>
  </si>
  <si>
    <t>(joindre photos si possible)</t>
  </si>
  <si>
    <t>Planckstraße 26</t>
  </si>
  <si>
    <t>Dim. hors-tout (L*l*h) :</t>
  </si>
  <si>
    <t>cm</t>
  </si>
  <si>
    <t>Poids total :</t>
  </si>
  <si>
    <t>kg</t>
  </si>
  <si>
    <t>FREIBERG am Neckar</t>
  </si>
  <si>
    <t>Support :</t>
  </si>
  <si>
    <t>N° osmoseur :</t>
  </si>
  <si>
    <t>AF-</t>
  </si>
  <si>
    <t>Hercotherm 18kW + 2 rés. :</t>
  </si>
  <si>
    <t>Pays :</t>
  </si>
  <si>
    <t xml:space="preserve">Date disponibilité : </t>
  </si>
  <si>
    <t>Quai de chargement ?</t>
  </si>
  <si>
    <t>PO25001051</t>
  </si>
  <si>
    <t xml:space="preserve">Valeur HT (€) : </t>
  </si>
  <si>
    <t>Contact :</t>
  </si>
  <si>
    <t xml:space="preserve">Code NC / HS Code : </t>
  </si>
  <si>
    <t>Tél :</t>
  </si>
  <si>
    <t>(= position douanière, si import CEE ou export DOM)</t>
  </si>
  <si>
    <t>Mail :</t>
  </si>
  <si>
    <t>Contraintes enlèvement/transport, spécificités matériel, emballage, etc. :</t>
  </si>
  <si>
    <t>SITE CLIENT / point de livraison</t>
  </si>
  <si>
    <t>Adresse livraison :</t>
  </si>
  <si>
    <t>Date LV souhaitée :</t>
  </si>
  <si>
    <t>Tranche horaire souhaitée :</t>
  </si>
  <si>
    <r>
      <t xml:space="preserve">Prestation </t>
    </r>
    <r>
      <rPr>
        <b/>
        <sz val="10"/>
        <color theme="1"/>
        <rFont val="Arial"/>
        <family val="2"/>
      </rPr>
      <t>BOVIS</t>
    </r>
    <r>
      <rPr>
        <sz val="10"/>
        <color theme="1"/>
        <rFont val="Arial"/>
        <family val="2"/>
      </rPr>
      <t xml:space="preserve"> :</t>
    </r>
  </si>
  <si>
    <t>PO25001050</t>
  </si>
  <si>
    <t>Visite technique nécessaire ? :</t>
  </si>
  <si>
    <t>Contact HOH pour la visite :</t>
  </si>
  <si>
    <t>Contact LV HOH sur place :</t>
  </si>
  <si>
    <t>Hauteur maxi camion :</t>
  </si>
  <si>
    <t>Quai déchargement :</t>
  </si>
  <si>
    <t>Localisation :</t>
  </si>
  <si>
    <t>Ascenseur/Monte-charge :</t>
  </si>
  <si>
    <t>Longueur cheminement :</t>
  </si>
  <si>
    <t>(joindre plan si possible)</t>
  </si>
  <si>
    <t>Marche(s) à passer :</t>
  </si>
  <si>
    <t>Protections à prévoir :</t>
  </si>
  <si>
    <t>Sol</t>
  </si>
  <si>
    <t>Murs</t>
  </si>
  <si>
    <t>Contraintes :</t>
  </si>
  <si>
    <t>Ascenseur</t>
  </si>
  <si>
    <t>EXPORT (FCA)</t>
  </si>
  <si>
    <t>Date livraison transitaire :</t>
  </si>
  <si>
    <t>Transitaire</t>
  </si>
  <si>
    <t>Contraintes livraison :</t>
  </si>
  <si>
    <t>Quai déchargement ?</t>
  </si>
  <si>
    <t>DT</t>
  </si>
  <si>
    <t>Palette</t>
  </si>
  <si>
    <t>OUI</t>
  </si>
  <si>
    <t>RDC</t>
  </si>
  <si>
    <t>NON</t>
  </si>
  <si>
    <t>Autre (préciser)</t>
  </si>
  <si>
    <t>en service</t>
  </si>
  <si>
    <t>réel (CMR)</t>
  </si>
  <si>
    <t>Ref osm</t>
  </si>
  <si>
    <t>CPU</t>
  </si>
  <si>
    <t>Roulettes</t>
  </si>
  <si>
    <t>1er étage</t>
  </si>
  <si>
    <t>1 palette 120*80*75 / 85kg</t>
  </si>
  <si>
    <t>HP5500D 300 P/H (1+1)</t>
  </si>
  <si>
    <t>160*100*200cm</t>
  </si>
  <si>
    <t>Axel FREMONT</t>
  </si>
  <si>
    <t>axel.fremont@hemotech.fr</t>
  </si>
  <si>
    <t>07 64 50 14 64</t>
  </si>
  <si>
    <t>9h00</t>
  </si>
  <si>
    <t>AFR</t>
  </si>
  <si>
    <t>Plots</t>
  </si>
  <si>
    <t>2ème étage</t>
  </si>
  <si>
    <t>HP5500D 500 P/H (2+2)</t>
  </si>
  <si>
    <t>170*100*200cm</t>
  </si>
  <si>
    <t>00465902</t>
  </si>
  <si>
    <t>Thomas WERBROUCK</t>
  </si>
  <si>
    <t>thomas.werbrouck@hemotech.fr</t>
  </si>
  <si>
    <t>06 74 28 21 42</t>
  </si>
  <si>
    <t>13h30</t>
  </si>
  <si>
    <t>TWE</t>
  </si>
  <si>
    <t>Autre (préciser) :</t>
  </si>
  <si>
    <t>3ème étage</t>
  </si>
  <si>
    <t>HP5500D 750 P/H (3+3)</t>
  </si>
  <si>
    <t>00465903</t>
  </si>
  <si>
    <t>Denis RABIN</t>
  </si>
  <si>
    <t>denis.rabin@hemotech.fr</t>
  </si>
  <si>
    <t>06 70 53 18 18</t>
  </si>
  <si>
    <t>DR</t>
  </si>
  <si>
    <t>4ème étage</t>
  </si>
  <si>
    <t>HP5500D 1000 P/H (4+4)</t>
  </si>
  <si>
    <t>00465904</t>
  </si>
  <si>
    <t>Olivier BALANDREAU</t>
  </si>
  <si>
    <t>oliver.balandreau@hemotech.fr</t>
  </si>
  <si>
    <t>07 63 33 44 35</t>
  </si>
  <si>
    <t>OBA</t>
  </si>
  <si>
    <t>5ème étage</t>
  </si>
  <si>
    <t>HP5500D 1250 P/H (5+5)</t>
  </si>
  <si>
    <t>180*100*200cm</t>
  </si>
  <si>
    <t>00465905</t>
  </si>
  <si>
    <t>Stéphane DANIEL</t>
  </si>
  <si>
    <t>stephane.daniel@hemotech.fr</t>
  </si>
  <si>
    <t>06 21 05 17 80</t>
  </si>
  <si>
    <t>STD</t>
  </si>
  <si>
    <t>6ème étage</t>
  </si>
  <si>
    <t>HP5500D 1500 P/H (6+6)</t>
  </si>
  <si>
    <t>190*100*200cm</t>
  </si>
  <si>
    <t>670 !</t>
  </si>
  <si>
    <t>00465906</t>
  </si>
  <si>
    <t>William BOSQ</t>
  </si>
  <si>
    <t>william.bosq@hemotech.fr</t>
  </si>
  <si>
    <t>06 80 40 46 29</t>
  </si>
  <si>
    <t>WBO</t>
  </si>
  <si>
    <t>Sous-sol</t>
  </si>
  <si>
    <t>HP5500D 2000 P/H (8+8)</t>
  </si>
  <si>
    <t>740 !</t>
  </si>
  <si>
    <t>00465907</t>
  </si>
  <si>
    <t>HP5500D 2500 P/H (2+2 / 8")</t>
  </si>
  <si>
    <t>270*120*220cm</t>
  </si>
  <si>
    <t>1100 !</t>
  </si>
  <si>
    <t>00465908</t>
  </si>
  <si>
    <t>HP5500D 3500 P/H (3+3 / 8")</t>
  </si>
  <si>
    <t>00465910</t>
  </si>
  <si>
    <t>HP5500D 4500 P/H (4+4 / 8")</t>
  </si>
  <si>
    <t>00465912</t>
  </si>
  <si>
    <t>HP5500D 650 P (2+2)</t>
  </si>
  <si>
    <t>150*100*190cm</t>
  </si>
  <si>
    <t>00465915</t>
  </si>
  <si>
    <t>HP5500D 1000 P (3+3)</t>
  </si>
  <si>
    <t>00465916</t>
  </si>
  <si>
    <t>HP5500D 1350 P (4+4)</t>
  </si>
  <si>
    <t>00465917</t>
  </si>
  <si>
    <t>HP5500D 1700 P (5+5)</t>
  </si>
  <si>
    <t>170*100*190cm</t>
  </si>
  <si>
    <t>00465918</t>
  </si>
  <si>
    <t>HP5500D 300 L/H (1)</t>
  </si>
  <si>
    <t>130*100*190cm</t>
  </si>
  <si>
    <t>00465952</t>
  </si>
  <si>
    <t>HP5500D 600 L/H (2)</t>
  </si>
  <si>
    <t>00465953</t>
  </si>
  <si>
    <t>HP5500D 900 L/H (3)</t>
  </si>
  <si>
    <t>00465954</t>
  </si>
  <si>
    <t>HP5500D 1200 L/H (4)</t>
  </si>
  <si>
    <t>00465955</t>
  </si>
  <si>
    <t>HP5500D 1500 L/H (5)</t>
  </si>
  <si>
    <t>00465956</t>
  </si>
  <si>
    <t>Skid Pré-TTE Yvetot</t>
  </si>
  <si>
    <t>150*90*200cm</t>
  </si>
  <si>
    <t>Skid Pré-TTE ECO (TPREPROV01)</t>
  </si>
  <si>
    <t>200*70*190cm</t>
  </si>
  <si>
    <t>Skid Préfiltration ECO (TPREPROV02)</t>
  </si>
  <si>
    <t>60x53x190cm</t>
  </si>
  <si>
    <t>70 (sans roulettes)</t>
  </si>
  <si>
    <t>Osm. Prov. Chaleur 1000P/H (TOSMPROV02)</t>
  </si>
  <si>
    <t>Osm. Prov. Chimique 1350P (TOSMPROV3)</t>
  </si>
  <si>
    <t>150*100*195cm</t>
  </si>
  <si>
    <t>Osm. Prov. Chimique 1600 D/E/B (TOSMPROV4)</t>
  </si>
  <si>
    <t>150*95*175cm</t>
  </si>
  <si>
    <t>250 (sans roulettes)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</si>
</sst>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€-40C]_-;\-* #,##0\ [$€-40C]_-;_-* &quot;-&quot;??\ [$€-40C]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Myriad Pro"/>
      <family val="2"/>
    </font>
    <font>
      <sz val="10"/>
      <color theme="1"/>
      <name val="Myriad Pro"/>
      <family val="2"/>
    </font>
    <font>
      <i/>
      <sz val="10"/>
      <color theme="1"/>
      <name val="Myriad Pro"/>
      <family val="2"/>
    </font>
    <font>
      <sz val="10"/>
      <color theme="0" tint="-0.499984740745262"/>
      <name val="Myriad Pro"/>
      <family val="2"/>
    </font>
    <font>
      <b/>
      <sz val="10"/>
      <color theme="0" tint="-0.499984740745262"/>
      <name val="Myriad Pro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color theme="0" tint="-0.499984740745262"/>
      <name val="Arial"/>
      <family val="2"/>
    </font>
    <font>
      <sz val="10"/>
      <color theme="1"/>
      <name val="Arial"/>
      <family val="2"/>
    </font>
    <font>
      <b/>
      <sz val="10"/>
      <color theme="0" tint="-0.499984740745262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8"/>
      <color theme="0" tint="-0.499984740745262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theme="1" tint="0.34998626667073579"/>
      <name val="Arial"/>
      <family val="2"/>
    </font>
    <font>
      <i/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right"/>
    </xf>
    <xf numFmtId="0" fontId="3" fillId="2" borderId="0" xfId="0" applyFont="1" applyFill="1"/>
    <xf numFmtId="0" fontId="6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7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14" fontId="11" fillId="0" borderId="0" xfId="0" applyNumberFormat="1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right"/>
    </xf>
    <xf numFmtId="0" fontId="12" fillId="3" borderId="24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14" fontId="14" fillId="0" borderId="24" xfId="0" applyNumberFormat="1" applyFont="1" applyBorder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" fillId="0" borderId="0" xfId="0" applyFont="1"/>
    <xf numFmtId="0" fontId="17" fillId="0" borderId="0" xfId="0" applyFont="1"/>
    <xf numFmtId="0" fontId="12" fillId="3" borderId="0" xfId="0" applyFont="1" applyFill="1" applyAlignment="1">
      <alignment horizontal="left" vertic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2" borderId="0" xfId="0" applyFont="1" applyFill="1" applyAlignment="1">
      <alignment horizontal="right"/>
    </xf>
    <xf numFmtId="0" fontId="12" fillId="2" borderId="0" xfId="0" applyFont="1" applyFill="1"/>
    <xf numFmtId="0" fontId="14" fillId="0" borderId="4" xfId="0" applyFont="1" applyBorder="1" applyAlignment="1">
      <alignment vertical="top" wrapText="1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3" borderId="0" xfId="0" applyFont="1" applyFill="1" applyAlignment="1">
      <alignment horizontal="left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vertical="top" wrapText="1"/>
    </xf>
    <xf numFmtId="14" fontId="12" fillId="0" borderId="8" xfId="0" applyNumberFormat="1" applyFont="1" applyBorder="1" applyAlignment="1">
      <alignment horizontal="left"/>
    </xf>
    <xf numFmtId="0" fontId="14" fillId="0" borderId="0" xfId="0" applyFont="1" applyAlignment="1">
      <alignment horizontal="center" vertical="top" wrapText="1"/>
    </xf>
    <xf numFmtId="164" fontId="12" fillId="0" borderId="0" xfId="0" applyNumberFormat="1" applyFont="1" applyAlignment="1">
      <alignment horizontal="left"/>
    </xf>
    <xf numFmtId="0" fontId="9" fillId="0" borderId="0" xfId="0" applyFont="1" applyAlignment="1">
      <alignment horizontal="right"/>
    </xf>
    <xf numFmtId="0" fontId="12" fillId="0" borderId="0" xfId="0" applyFont="1" applyAlignment="1">
      <alignment vertical="top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4" fontId="18" fillId="0" borderId="9" xfId="0" applyNumberFormat="1" applyFont="1" applyBorder="1" applyAlignment="1">
      <alignment horizontal="left"/>
    </xf>
    <xf numFmtId="0" fontId="18" fillId="0" borderId="0" xfId="0" applyFont="1"/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0" fillId="0" borderId="0" xfId="0" applyFont="1" applyAlignment="1">
      <alignment horizontal="center" vertical="top" wrapText="1"/>
    </xf>
    <xf numFmtId="0" fontId="20" fillId="0" borderId="0" xfId="0" applyFont="1" applyAlignment="1">
      <alignment horizontal="right"/>
    </xf>
    <xf numFmtId="49" fontId="20" fillId="0" borderId="0" xfId="0" applyNumberFormat="1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right"/>
    </xf>
    <xf numFmtId="0" fontId="23" fillId="0" borderId="0" xfId="1"/>
    <xf numFmtId="0" fontId="12" fillId="3" borderId="28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right" vertical="center"/>
    </xf>
    <xf numFmtId="0" fontId="16" fillId="0" borderId="0" xfId="0" quotePrefix="1" applyFont="1" applyAlignment="1">
      <alignment horizontal="center" vertical="center"/>
    </xf>
    <xf numFmtId="0" fontId="14" fillId="3" borderId="24" xfId="0" applyFont="1" applyFill="1" applyBorder="1" applyAlignment="1">
      <alignment horizontal="center"/>
    </xf>
    <xf numFmtId="0" fontId="14" fillId="0" borderId="0" xfId="0" applyFont="1" applyAlignment="1">
      <alignment horizontal="center" vertical="top" wrapText="1"/>
    </xf>
    <xf numFmtId="0" fontId="21" fillId="0" borderId="0" xfId="0" applyFont="1" applyAlignment="1">
      <alignment horizontal="right"/>
    </xf>
    <xf numFmtId="0" fontId="14" fillId="0" borderId="4" xfId="0" applyFont="1" applyBorder="1" applyAlignment="1">
      <alignment horizontal="right" vertical="top" wrapText="1"/>
    </xf>
    <xf numFmtId="0" fontId="10" fillId="0" borderId="0" xfId="0" applyFont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0" fontId="18" fillId="0" borderId="22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18" fillId="0" borderId="14" xfId="0" applyFont="1" applyBorder="1" applyAlignment="1">
      <alignment horizontal="center" vertical="top"/>
    </xf>
    <xf numFmtId="0" fontId="18" fillId="0" borderId="23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1" fillId="0" borderId="1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right" vertical="top" wrapText="1"/>
    </xf>
    <xf numFmtId="0" fontId="18" fillId="0" borderId="10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2" fillId="0" borderId="7" xfId="0" applyFont="1" applyBorder="1" applyAlignment="1">
      <alignment horizontal="left"/>
    </xf>
    <xf numFmtId="49" fontId="12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horizontal="center" vertical="center"/>
    </xf>
    <xf numFmtId="0" fontId="12" fillId="3" borderId="0" xfId="0" applyFont="1" applyFill="1" applyAlignment="1">
      <alignment horizontal="left"/>
    </xf>
    <xf numFmtId="0" fontId="12" fillId="3" borderId="26" xfId="0" applyFont="1" applyFill="1" applyBorder="1" applyAlignment="1">
      <alignment horizontal="left" vertical="top"/>
    </xf>
    <xf numFmtId="0" fontId="12" fillId="3" borderId="29" xfId="0" applyFont="1" applyFill="1" applyBorder="1" applyAlignment="1">
      <alignment horizontal="left" vertical="top"/>
    </xf>
    <xf numFmtId="0" fontId="12" fillId="3" borderId="27" xfId="0" applyFont="1" applyFill="1" applyBorder="1" applyAlignment="1">
      <alignment horizontal="left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nis.rabin@hemotech.fr" TargetMode="External"/><Relationship Id="rId2" Type="http://schemas.openxmlformats.org/officeDocument/2006/relationships/hyperlink" Target="mailto:stephane.daniel@hemotech.fr" TargetMode="External"/><Relationship Id="rId1" Type="http://schemas.openxmlformats.org/officeDocument/2006/relationships/hyperlink" Target="mailto:william.bosq@hemotech.fr" TargetMode="External"/><Relationship Id="rId6" Type="http://schemas.openxmlformats.org/officeDocument/2006/relationships/hyperlink" Target="mailto:axel.fremont@hemotech.fr" TargetMode="External"/><Relationship Id="rId5" Type="http://schemas.openxmlformats.org/officeDocument/2006/relationships/hyperlink" Target="mailto:thomas.werbrouck@hemotech.fr" TargetMode="External"/><Relationship Id="rId4" Type="http://schemas.openxmlformats.org/officeDocument/2006/relationships/hyperlink" Target="mailto:oliver.balandreau@hemotech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J14" sqref="J14"/>
    </sheetView>
  </sheetViews>
  <sheetFormatPr baseColWidth="10" defaultColWidth="11.42578125" defaultRowHeight="15" x14ac:dyDescent="0.25"/>
  <cols>
    <col min="1" max="1" width="23.28515625" customWidth="1"/>
    <col min="2" max="2" width="17.42578125" customWidth="1"/>
    <col min="3" max="3" width="8.7109375" customWidth="1"/>
    <col min="4" max="4" width="5.85546875" customWidth="1"/>
    <col min="5" max="5" width="13.85546875" customWidth="1"/>
    <col min="6" max="6" width="6.140625" customWidth="1"/>
    <col min="7" max="7" width="19" customWidth="1"/>
  </cols>
  <sheetData>
    <row r="1" spans="1:9" ht="15.75" thickBot="1" x14ac:dyDescent="0.3">
      <c r="A1" s="28" t="s">
        <v>0</v>
      </c>
      <c r="B1" s="29"/>
      <c r="C1" s="29"/>
      <c r="D1" s="29"/>
      <c r="E1" s="29"/>
      <c r="F1" s="29"/>
      <c r="G1" s="29"/>
    </row>
    <row r="2" spans="1:9" ht="18" x14ac:dyDescent="0.25">
      <c r="A2" s="113" t="s">
        <v>1</v>
      </c>
      <c r="B2" s="114"/>
      <c r="C2" s="115"/>
      <c r="D2" s="30"/>
      <c r="E2" s="18" t="s">
        <v>2</v>
      </c>
      <c r="F2" s="31"/>
      <c r="G2" s="20"/>
    </row>
    <row r="3" spans="1:9" ht="18.75" thickBot="1" x14ac:dyDescent="0.3">
      <c r="A3" s="116" t="s">
        <v>3</v>
      </c>
      <c r="B3" s="117"/>
      <c r="C3" s="118"/>
      <c r="D3" s="30"/>
      <c r="E3" s="18" t="s">
        <v>4</v>
      </c>
      <c r="F3" s="121"/>
      <c r="G3" s="121"/>
    </row>
    <row r="4" spans="1:9" x14ac:dyDescent="0.25">
      <c r="A4" s="18"/>
      <c r="B4" s="32"/>
      <c r="C4" s="20"/>
      <c r="D4" s="20"/>
      <c r="E4" s="20"/>
      <c r="F4" s="20"/>
      <c r="G4" s="20"/>
    </row>
    <row r="5" spans="1:9" x14ac:dyDescent="0.25">
      <c r="A5" s="33" t="s">
        <v>5</v>
      </c>
      <c r="B5" s="120"/>
      <c r="C5" s="120"/>
      <c r="D5" s="20"/>
      <c r="E5" s="33" t="s">
        <v>6</v>
      </c>
      <c r="F5" s="78" t="s">
        <v>7</v>
      </c>
      <c r="G5" s="78"/>
    </row>
    <row r="6" spans="1:9" ht="9.9499999999999993" customHeight="1" x14ac:dyDescent="0.25">
      <c r="A6" s="34"/>
      <c r="B6" s="34"/>
      <c r="C6" s="34"/>
      <c r="D6" s="20"/>
      <c r="E6" s="20"/>
      <c r="F6" s="20"/>
      <c r="G6" s="20"/>
      <c r="H6" s="1"/>
      <c r="I6" s="1"/>
    </row>
    <row r="7" spans="1:9" ht="5.0999999999999996" customHeight="1" x14ac:dyDescent="0.25">
      <c r="A7" s="35"/>
      <c r="B7" s="35"/>
      <c r="C7" s="35"/>
      <c r="D7" s="36"/>
      <c r="E7" s="36"/>
      <c r="F7" s="36"/>
      <c r="G7" s="36"/>
      <c r="H7" s="1"/>
      <c r="I7" s="1"/>
    </row>
    <row r="8" spans="1:9" ht="9.9499999999999993" customHeight="1" x14ac:dyDescent="0.25">
      <c r="A8" s="18"/>
      <c r="B8" s="18"/>
      <c r="C8" s="18"/>
      <c r="D8" s="20"/>
      <c r="E8" s="20"/>
      <c r="F8" s="20"/>
      <c r="G8" s="20"/>
      <c r="H8" s="1"/>
      <c r="I8" s="1"/>
    </row>
    <row r="9" spans="1:9" ht="15" customHeight="1" x14ac:dyDescent="0.25">
      <c r="A9" s="33" t="s">
        <v>8</v>
      </c>
      <c r="B9" s="123"/>
      <c r="C9" s="124"/>
      <c r="D9" s="125"/>
      <c r="E9" s="37" t="s">
        <v>9</v>
      </c>
      <c r="F9" s="111" t="s">
        <v>10</v>
      </c>
      <c r="G9" s="112"/>
    </row>
    <row r="10" spans="1:9" x14ac:dyDescent="0.25">
      <c r="A10" s="34" t="s">
        <v>11</v>
      </c>
      <c r="B10" s="49"/>
      <c r="C10" s="49"/>
      <c r="D10" s="20"/>
      <c r="E10" s="37"/>
      <c r="F10" s="76" t="s">
        <v>12</v>
      </c>
      <c r="G10" s="77"/>
    </row>
    <row r="11" spans="1:9" x14ac:dyDescent="0.25">
      <c r="A11" s="18" t="s">
        <v>13</v>
      </c>
      <c r="B11" s="32" t="str">
        <f>_xlfn.IFNA(VLOOKUP(B9,Feuil2!F1:H30,2,FALSE),"")</f>
        <v/>
      </c>
      <c r="C11" s="20" t="s">
        <v>14</v>
      </c>
      <c r="D11" s="20"/>
      <c r="E11" s="37"/>
      <c r="F11" s="76"/>
      <c r="G11" s="77"/>
    </row>
    <row r="12" spans="1:9" ht="15" customHeight="1" x14ac:dyDescent="0.25">
      <c r="A12" s="18" t="s">
        <v>15</v>
      </c>
      <c r="B12" s="32" t="str">
        <f>_xlfn.IFNA(VLOOKUP(B9,Feuil2!F1:I30,4,FALSE),"")</f>
        <v/>
      </c>
      <c r="C12" s="20" t="s">
        <v>16</v>
      </c>
      <c r="D12" s="20"/>
      <c r="E12" s="37"/>
      <c r="F12" s="40">
        <v>71691</v>
      </c>
      <c r="G12" s="41" t="s">
        <v>17</v>
      </c>
    </row>
    <row r="13" spans="1:9" x14ac:dyDescent="0.25">
      <c r="A13" s="18" t="s">
        <v>18</v>
      </c>
      <c r="B13" s="42"/>
      <c r="C13" s="20"/>
      <c r="D13" s="20"/>
      <c r="E13" s="43" t="s">
        <v>19</v>
      </c>
      <c r="F13" s="119" t="s">
        <v>20</v>
      </c>
      <c r="G13" s="119"/>
    </row>
    <row r="14" spans="1:9" x14ac:dyDescent="0.25">
      <c r="A14" s="18"/>
      <c r="B14" s="32"/>
      <c r="C14" s="20"/>
      <c r="D14" s="20"/>
      <c r="E14" s="44"/>
      <c r="F14" s="32"/>
      <c r="G14" s="68"/>
    </row>
    <row r="15" spans="1:9" x14ac:dyDescent="0.25">
      <c r="A15" s="18" t="s">
        <v>21</v>
      </c>
      <c r="B15" s="122"/>
      <c r="C15" s="122"/>
      <c r="D15" s="20"/>
      <c r="E15" s="43" t="s">
        <v>22</v>
      </c>
      <c r="F15" s="32"/>
      <c r="G15" s="32"/>
    </row>
    <row r="16" spans="1:9" ht="15.75" thickBot="1" x14ac:dyDescent="0.3">
      <c r="A16" s="20"/>
      <c r="B16" s="78"/>
      <c r="C16" s="78"/>
      <c r="D16" s="20"/>
      <c r="E16" s="43"/>
      <c r="F16" s="20"/>
      <c r="G16" s="20"/>
    </row>
    <row r="17" spans="1:9" ht="15.75" thickBot="1" x14ac:dyDescent="0.3">
      <c r="A17" s="33" t="s">
        <v>23</v>
      </c>
      <c r="B17" s="45"/>
      <c r="C17" s="20"/>
      <c r="D17" s="70" t="s">
        <v>24</v>
      </c>
      <c r="E17" s="70"/>
      <c r="F17" s="42"/>
      <c r="G17" s="32"/>
    </row>
    <row r="18" spans="1:9" x14ac:dyDescent="0.25">
      <c r="A18" s="33"/>
      <c r="B18" s="68" t="s">
        <v>25</v>
      </c>
      <c r="C18" s="20"/>
      <c r="D18" s="29"/>
      <c r="E18" s="29"/>
      <c r="F18" s="20"/>
      <c r="G18" s="20"/>
    </row>
    <row r="19" spans="1:9" x14ac:dyDescent="0.25">
      <c r="A19" s="33" t="s">
        <v>26</v>
      </c>
      <c r="B19" s="47"/>
      <c r="C19" s="20"/>
      <c r="D19" s="46"/>
      <c r="E19" s="33" t="s">
        <v>27</v>
      </c>
      <c r="F19" s="78"/>
      <c r="G19" s="78"/>
    </row>
    <row r="20" spans="1:9" x14ac:dyDescent="0.25">
      <c r="A20" s="60" t="s">
        <v>28</v>
      </c>
      <c r="B20" s="61"/>
      <c r="C20" s="62"/>
      <c r="D20" s="20"/>
      <c r="E20" s="48" t="s">
        <v>29</v>
      </c>
      <c r="F20" s="78"/>
      <c r="G20" s="78"/>
      <c r="H20" s="1"/>
      <c r="I20" s="1"/>
    </row>
    <row r="21" spans="1:9" x14ac:dyDescent="0.25">
      <c r="A21" s="71" t="s">
        <v>30</v>
      </c>
      <c r="B21" s="71"/>
      <c r="C21" s="71"/>
      <c r="D21" s="20"/>
      <c r="E21" s="33" t="s">
        <v>31</v>
      </c>
      <c r="F21" s="20"/>
      <c r="G21" s="20"/>
      <c r="H21" s="1"/>
      <c r="I21" s="1"/>
    </row>
    <row r="22" spans="1:9" x14ac:dyDescent="0.25">
      <c r="A22" s="63"/>
      <c r="B22" s="63"/>
      <c r="C22" s="63"/>
      <c r="D22" s="20"/>
      <c r="E22" s="20"/>
      <c r="F22" s="20"/>
      <c r="G22" s="20"/>
      <c r="H22" s="1"/>
      <c r="I22" s="1"/>
    </row>
    <row r="23" spans="1:9" x14ac:dyDescent="0.25">
      <c r="A23" s="79" t="s">
        <v>32</v>
      </c>
      <c r="B23" s="79"/>
      <c r="C23" s="79"/>
      <c r="D23" s="79"/>
      <c r="E23" s="79"/>
      <c r="F23" s="20"/>
      <c r="G23" s="20"/>
      <c r="H23" s="1"/>
      <c r="I23" s="1"/>
    </row>
    <row r="24" spans="1:9" x14ac:dyDescent="0.25">
      <c r="A24" s="80"/>
      <c r="B24" s="81"/>
      <c r="C24" s="81"/>
      <c r="D24" s="81"/>
      <c r="E24" s="82"/>
      <c r="F24" s="49"/>
      <c r="G24" s="49"/>
      <c r="H24" s="1"/>
      <c r="I24" s="1"/>
    </row>
    <row r="25" spans="1:9" x14ac:dyDescent="0.25">
      <c r="A25" s="83"/>
      <c r="B25" s="84"/>
      <c r="C25" s="84"/>
      <c r="D25" s="84"/>
      <c r="E25" s="85"/>
      <c r="F25" s="49"/>
      <c r="G25" s="49"/>
      <c r="H25" s="1"/>
      <c r="I25" s="1"/>
    </row>
    <row r="26" spans="1:9" x14ac:dyDescent="0.25">
      <c r="A26" s="83"/>
      <c r="B26" s="84"/>
      <c r="C26" s="84"/>
      <c r="D26" s="84"/>
      <c r="E26" s="85"/>
      <c r="F26" s="49"/>
      <c r="G26" s="49"/>
      <c r="H26" s="1"/>
      <c r="I26" s="1"/>
    </row>
    <row r="27" spans="1:9" x14ac:dyDescent="0.25">
      <c r="A27" s="86"/>
      <c r="B27" s="87"/>
      <c r="C27" s="87"/>
      <c r="D27" s="87"/>
      <c r="E27" s="88"/>
      <c r="F27" s="49"/>
      <c r="G27" s="49"/>
      <c r="H27" s="1"/>
      <c r="I27" s="1"/>
    </row>
    <row r="28" spans="1:9" ht="9.9499999999999993" customHeight="1" x14ac:dyDescent="0.25">
      <c r="A28" s="4"/>
      <c r="B28" s="4"/>
      <c r="C28" s="4"/>
      <c r="D28" s="3"/>
      <c r="E28" s="3"/>
      <c r="F28" s="3"/>
      <c r="G28" s="3"/>
      <c r="H28" s="1"/>
      <c r="I28" s="1"/>
    </row>
    <row r="29" spans="1:9" ht="5.0999999999999996" customHeight="1" x14ac:dyDescent="0.25">
      <c r="A29" s="8"/>
      <c r="B29" s="8"/>
      <c r="C29" s="8"/>
      <c r="D29" s="9"/>
      <c r="E29" s="9"/>
      <c r="F29" s="9"/>
      <c r="G29" s="9"/>
      <c r="H29" s="1"/>
      <c r="I29" s="1"/>
    </row>
    <row r="30" spans="1:9" ht="10.15" customHeight="1" x14ac:dyDescent="0.25">
      <c r="A30" s="2"/>
      <c r="B30" s="2"/>
      <c r="C30" s="2"/>
      <c r="D30" s="3"/>
      <c r="E30" s="3"/>
      <c r="F30" s="3"/>
      <c r="G30" s="3"/>
      <c r="H30" s="1"/>
      <c r="I30" s="1"/>
    </row>
    <row r="31" spans="1:9" ht="15.75" x14ac:dyDescent="0.25">
      <c r="A31" s="51" t="s">
        <v>33</v>
      </c>
      <c r="B31" s="16"/>
      <c r="C31" s="17"/>
      <c r="D31" s="17"/>
      <c r="E31" s="72" t="s">
        <v>34</v>
      </c>
      <c r="F31" s="111"/>
      <c r="G31" s="112"/>
      <c r="H31" s="1"/>
      <c r="I31" s="1"/>
    </row>
    <row r="32" spans="1:9" ht="15.75" x14ac:dyDescent="0.25">
      <c r="A32" s="51"/>
      <c r="B32" s="16"/>
      <c r="C32" s="17"/>
      <c r="D32" s="17"/>
      <c r="E32" s="72"/>
      <c r="F32" s="76"/>
      <c r="G32" s="77"/>
      <c r="H32" s="1"/>
      <c r="I32" s="1"/>
    </row>
    <row r="33" spans="1:9" x14ac:dyDescent="0.25">
      <c r="A33" s="33" t="s">
        <v>35</v>
      </c>
      <c r="B33" s="22"/>
      <c r="C33" s="17"/>
      <c r="D33" s="17"/>
      <c r="E33" s="72"/>
      <c r="F33" s="76"/>
      <c r="G33" s="77"/>
      <c r="H33" s="1"/>
      <c r="I33" s="1"/>
    </row>
    <row r="34" spans="1:9" x14ac:dyDescent="0.25">
      <c r="A34" s="18" t="s">
        <v>36</v>
      </c>
      <c r="B34" s="69"/>
      <c r="C34" s="17"/>
      <c r="D34" s="17"/>
      <c r="E34" s="72"/>
      <c r="F34" s="76"/>
      <c r="G34" s="77"/>
      <c r="H34" s="1"/>
      <c r="I34" s="1"/>
    </row>
    <row r="35" spans="1:9" x14ac:dyDescent="0.25">
      <c r="A35" s="18"/>
      <c r="B35" s="66"/>
      <c r="C35" s="17"/>
      <c r="D35" s="17"/>
      <c r="E35" s="72"/>
      <c r="F35" s="38"/>
      <c r="G35" s="39"/>
      <c r="H35" s="1"/>
      <c r="I35" s="1"/>
    </row>
    <row r="36" spans="1:9" x14ac:dyDescent="0.25">
      <c r="A36" s="18" t="s">
        <v>37</v>
      </c>
      <c r="B36" s="19"/>
      <c r="C36" s="68" t="s">
        <v>38</v>
      </c>
      <c r="D36" s="17"/>
      <c r="E36" s="72"/>
      <c r="F36" s="76"/>
      <c r="G36" s="77"/>
      <c r="H36" s="1"/>
      <c r="I36" s="1"/>
    </row>
    <row r="37" spans="1:9" ht="15.75" x14ac:dyDescent="0.25">
      <c r="A37" s="51"/>
      <c r="B37" s="18" t="s">
        <v>39</v>
      </c>
      <c r="C37" s="65"/>
      <c r="D37" s="20"/>
      <c r="E37" s="72"/>
      <c r="F37" s="40"/>
      <c r="G37" s="41"/>
      <c r="H37" s="1"/>
      <c r="I37" s="1"/>
    </row>
    <row r="38" spans="1:9" ht="15.75" x14ac:dyDescent="0.25">
      <c r="A38" s="51"/>
      <c r="B38" s="18" t="s">
        <v>40</v>
      </c>
      <c r="C38" s="99"/>
      <c r="D38" s="100"/>
      <c r="E38" s="18"/>
      <c r="F38" s="24"/>
      <c r="G38" s="20"/>
      <c r="H38" s="1"/>
      <c r="I38" s="1"/>
    </row>
    <row r="39" spans="1:9" ht="15.75" x14ac:dyDescent="0.25">
      <c r="A39" s="51"/>
      <c r="B39" s="16"/>
      <c r="C39" s="17"/>
      <c r="D39" s="17"/>
      <c r="E39" s="33" t="s">
        <v>41</v>
      </c>
      <c r="F39" s="99"/>
      <c r="G39" s="100"/>
      <c r="H39" s="1"/>
      <c r="I39" s="1"/>
    </row>
    <row r="40" spans="1:9" x14ac:dyDescent="0.25">
      <c r="A40" s="18" t="s">
        <v>42</v>
      </c>
      <c r="B40" s="19"/>
      <c r="C40" s="17"/>
      <c r="D40" s="17"/>
      <c r="E40" s="48" t="s">
        <v>29</v>
      </c>
      <c r="F40" s="78" t="str">
        <f>_xlfn.IFNA(VLOOKUP(F39,Feuil2!K2:M10,3,FALSE),"")</f>
        <v/>
      </c>
      <c r="G40" s="78"/>
      <c r="H40" s="1"/>
      <c r="I40" s="1"/>
    </row>
    <row r="41" spans="1:9" x14ac:dyDescent="0.25">
      <c r="A41" s="18" t="s">
        <v>43</v>
      </c>
      <c r="B41" s="19"/>
      <c r="C41" s="17"/>
      <c r="D41" s="17"/>
      <c r="E41" s="33" t="s">
        <v>31</v>
      </c>
      <c r="F41" s="78" t="str">
        <f>_xlfn.IFNA(VLOOKUP(F39,Feuil2!K2:M10,2,FALSE),"")</f>
        <v/>
      </c>
      <c r="G41" s="78"/>
      <c r="H41" s="1"/>
      <c r="I41" s="1"/>
    </row>
    <row r="42" spans="1:9" x14ac:dyDescent="0.25">
      <c r="A42" s="18" t="s">
        <v>44</v>
      </c>
      <c r="B42" s="19"/>
      <c r="C42" s="17"/>
      <c r="D42" s="17"/>
      <c r="H42" s="1"/>
      <c r="I42" s="1"/>
    </row>
    <row r="43" spans="1:9" x14ac:dyDescent="0.25">
      <c r="A43" s="18" t="s">
        <v>45</v>
      </c>
      <c r="B43" s="19"/>
      <c r="C43" s="17"/>
      <c r="D43" s="17"/>
      <c r="E43" s="18"/>
      <c r="F43" s="21"/>
      <c r="G43" s="21"/>
      <c r="H43" s="1"/>
      <c r="I43" s="1"/>
    </row>
    <row r="44" spans="1:9" x14ac:dyDescent="0.25">
      <c r="A44" s="20"/>
      <c r="B44" s="24"/>
      <c r="C44" s="17"/>
      <c r="H44" s="1"/>
      <c r="I44" s="1"/>
    </row>
    <row r="45" spans="1:9" x14ac:dyDescent="0.25">
      <c r="A45" s="18" t="s">
        <v>46</v>
      </c>
      <c r="B45" s="25"/>
      <c r="C45" s="26" t="s">
        <v>47</v>
      </c>
      <c r="H45" s="1"/>
      <c r="I45" s="1"/>
    </row>
    <row r="46" spans="1:9" x14ac:dyDescent="0.25">
      <c r="A46" s="18" t="s">
        <v>48</v>
      </c>
      <c r="B46" s="25"/>
      <c r="C46" s="26" t="s">
        <v>11</v>
      </c>
      <c r="H46" s="1"/>
      <c r="I46" s="1"/>
    </row>
    <row r="47" spans="1:9" x14ac:dyDescent="0.25">
      <c r="H47" s="1"/>
      <c r="I47" s="1"/>
    </row>
    <row r="48" spans="1:9" x14ac:dyDescent="0.25">
      <c r="D48" s="18" t="s">
        <v>49</v>
      </c>
      <c r="E48" s="18" t="s">
        <v>50</v>
      </c>
      <c r="F48" s="19"/>
      <c r="H48" s="1"/>
      <c r="I48" s="1"/>
    </row>
    <row r="49" spans="1:9" x14ac:dyDescent="0.25">
      <c r="D49" s="23"/>
      <c r="E49" s="18" t="s">
        <v>51</v>
      </c>
      <c r="F49" s="19"/>
      <c r="H49" s="1"/>
      <c r="I49" s="1"/>
    </row>
    <row r="50" spans="1:9" x14ac:dyDescent="0.25">
      <c r="A50" s="98" t="s">
        <v>52</v>
      </c>
      <c r="B50" s="98"/>
      <c r="C50" s="98"/>
      <c r="D50" s="98"/>
      <c r="E50" s="18" t="s">
        <v>53</v>
      </c>
      <c r="F50" s="19"/>
      <c r="G50" s="17"/>
      <c r="H50" s="1"/>
      <c r="I50" s="1"/>
    </row>
    <row r="51" spans="1:9" x14ac:dyDescent="0.25">
      <c r="A51" s="89"/>
      <c r="B51" s="90"/>
      <c r="C51" s="90"/>
      <c r="D51" s="91"/>
      <c r="E51" s="18"/>
      <c r="F51" s="24"/>
      <c r="G51" s="27"/>
      <c r="H51" s="1"/>
      <c r="I51" s="1"/>
    </row>
    <row r="52" spans="1:9" x14ac:dyDescent="0.25">
      <c r="A52" s="92"/>
      <c r="B52" s="93"/>
      <c r="C52" s="93"/>
      <c r="D52" s="94"/>
      <c r="E52" s="18"/>
      <c r="F52" s="24"/>
      <c r="G52" s="27"/>
      <c r="H52" s="1"/>
      <c r="I52" s="1"/>
    </row>
    <row r="53" spans="1:9" x14ac:dyDescent="0.25">
      <c r="A53" s="92"/>
      <c r="B53" s="93"/>
      <c r="C53" s="93"/>
      <c r="D53" s="94"/>
      <c r="H53" s="1"/>
      <c r="I53" s="1"/>
    </row>
    <row r="54" spans="1:9" x14ac:dyDescent="0.25">
      <c r="A54" s="92"/>
      <c r="B54" s="93"/>
      <c r="C54" s="93"/>
      <c r="D54" s="94"/>
      <c r="H54" s="1"/>
      <c r="I54" s="1"/>
    </row>
    <row r="55" spans="1:9" x14ac:dyDescent="0.25">
      <c r="A55" s="95"/>
      <c r="B55" s="96"/>
      <c r="C55" s="96"/>
      <c r="D55" s="97"/>
      <c r="H55" s="1"/>
      <c r="I55" s="1"/>
    </row>
    <row r="56" spans="1:9" ht="9.9499999999999993" customHeight="1" x14ac:dyDescent="0.25">
      <c r="A56" s="5"/>
      <c r="B56" s="5"/>
      <c r="C56" s="5"/>
      <c r="D56" s="6"/>
      <c r="E56" s="6"/>
      <c r="F56" s="7"/>
      <c r="G56" s="7"/>
      <c r="H56" s="1"/>
      <c r="I56" s="1"/>
    </row>
    <row r="57" spans="1:9" ht="5.0999999999999996" customHeight="1" x14ac:dyDescent="0.25">
      <c r="A57" s="12"/>
      <c r="B57" s="12"/>
      <c r="C57" s="12"/>
      <c r="D57" s="10"/>
      <c r="E57" s="10"/>
      <c r="F57" s="11"/>
      <c r="G57" s="11"/>
      <c r="H57" s="1"/>
      <c r="I57" s="1"/>
    </row>
    <row r="58" spans="1:9" ht="10.15" customHeight="1" x14ac:dyDescent="0.25">
      <c r="A58" s="18"/>
      <c r="B58" s="18"/>
      <c r="C58" s="18"/>
      <c r="D58" s="20"/>
      <c r="E58" s="20"/>
      <c r="F58" s="20"/>
      <c r="G58" s="20"/>
    </row>
    <row r="59" spans="1:9" ht="15.75" x14ac:dyDescent="0.25">
      <c r="A59" s="51" t="s">
        <v>54</v>
      </c>
      <c r="B59" s="18"/>
      <c r="C59" s="18"/>
      <c r="D59" s="20"/>
      <c r="E59" s="20"/>
      <c r="F59" s="20"/>
      <c r="G59" s="20"/>
    </row>
    <row r="60" spans="1:9" ht="15.75" thickBot="1" x14ac:dyDescent="0.3">
      <c r="A60" s="18"/>
      <c r="B60" s="18"/>
      <c r="C60" s="18"/>
      <c r="D60" s="20"/>
      <c r="E60" s="20"/>
      <c r="F60" s="20"/>
      <c r="G60" s="20"/>
    </row>
    <row r="61" spans="1:9" ht="15.75" thickBot="1" x14ac:dyDescent="0.3">
      <c r="A61" s="52" t="s">
        <v>55</v>
      </c>
      <c r="B61" s="53"/>
      <c r="C61" s="54"/>
      <c r="D61" s="54"/>
      <c r="E61" s="108" t="s">
        <v>56</v>
      </c>
      <c r="F61" s="109"/>
      <c r="G61" s="110"/>
    </row>
    <row r="62" spans="1:9" x14ac:dyDescent="0.25">
      <c r="A62" s="56"/>
      <c r="B62" s="54"/>
      <c r="C62" s="54"/>
      <c r="D62" s="54"/>
      <c r="E62" s="108"/>
      <c r="F62" s="74"/>
      <c r="G62" s="75"/>
    </row>
    <row r="63" spans="1:9" x14ac:dyDescent="0.25">
      <c r="A63" s="73" t="s">
        <v>57</v>
      </c>
      <c r="B63" s="73"/>
      <c r="C63" s="54"/>
      <c r="D63" s="54"/>
      <c r="E63" s="108"/>
      <c r="F63" s="74"/>
      <c r="G63" s="75"/>
    </row>
    <row r="64" spans="1:9" x14ac:dyDescent="0.25">
      <c r="A64" s="101"/>
      <c r="B64" s="102"/>
      <c r="C64" s="54"/>
      <c r="D64" s="54"/>
      <c r="E64" s="108"/>
      <c r="F64" s="74"/>
      <c r="G64" s="75"/>
    </row>
    <row r="65" spans="1:7" x14ac:dyDescent="0.25">
      <c r="A65" s="103"/>
      <c r="B65" s="104"/>
      <c r="C65" s="54"/>
      <c r="D65" s="54"/>
      <c r="E65" s="108"/>
      <c r="F65" s="74"/>
      <c r="G65" s="75"/>
    </row>
    <row r="66" spans="1:7" x14ac:dyDescent="0.25">
      <c r="A66" s="103"/>
      <c r="B66" s="104"/>
      <c r="C66" s="54"/>
      <c r="D66" s="54"/>
      <c r="E66" s="108"/>
      <c r="F66" s="57"/>
      <c r="G66" s="58"/>
    </row>
    <row r="67" spans="1:7" x14ac:dyDescent="0.25">
      <c r="A67" s="103"/>
      <c r="B67" s="104"/>
      <c r="C67" s="54"/>
      <c r="D67" s="54"/>
      <c r="E67" s="55"/>
      <c r="F67" s="98"/>
      <c r="G67" s="98"/>
    </row>
    <row r="68" spans="1:7" x14ac:dyDescent="0.25">
      <c r="A68" s="105"/>
      <c r="B68" s="106"/>
      <c r="C68" s="54"/>
      <c r="D68" s="107" t="s">
        <v>58</v>
      </c>
      <c r="E68" s="107"/>
      <c r="F68" s="50"/>
      <c r="G68" s="50"/>
    </row>
    <row r="69" spans="1:7" ht="10.15" customHeight="1" x14ac:dyDescent="0.25">
      <c r="A69" s="54"/>
      <c r="B69" s="54"/>
      <c r="C69" s="54"/>
      <c r="D69" s="59"/>
      <c r="E69" s="59"/>
      <c r="F69" s="50"/>
      <c r="G69" s="50"/>
    </row>
    <row r="70" spans="1:7" x14ac:dyDescent="0.25">
      <c r="A70" s="35"/>
      <c r="B70" s="35"/>
      <c r="C70" s="35"/>
      <c r="D70" s="36"/>
      <c r="E70" s="36"/>
      <c r="F70" s="36"/>
      <c r="G70" s="36"/>
    </row>
    <row r="71" spans="1:7" x14ac:dyDescent="0.25">
      <c r="A71" s="29"/>
      <c r="B71" s="29"/>
      <c r="C71" s="29"/>
      <c r="D71" s="29"/>
      <c r="E71" s="29"/>
      <c r="F71" s="29"/>
      <c r="G71" s="29"/>
    </row>
  </sheetData>
  <mergeCells count="40">
    <mergeCell ref="F31:G31"/>
    <mergeCell ref="C38:D38"/>
    <mergeCell ref="F33:G33"/>
    <mergeCell ref="F36:G36"/>
    <mergeCell ref="A2:C2"/>
    <mergeCell ref="A3:C3"/>
    <mergeCell ref="B16:C16"/>
    <mergeCell ref="F13:G13"/>
    <mergeCell ref="B5:C5"/>
    <mergeCell ref="F3:G3"/>
    <mergeCell ref="F11:G11"/>
    <mergeCell ref="F5:G5"/>
    <mergeCell ref="F9:G9"/>
    <mergeCell ref="F10:G10"/>
    <mergeCell ref="B15:C15"/>
    <mergeCell ref="B9:D9"/>
    <mergeCell ref="A64:B68"/>
    <mergeCell ref="F64:G64"/>
    <mergeCell ref="F65:G65"/>
    <mergeCell ref="F67:G67"/>
    <mergeCell ref="D68:E68"/>
    <mergeCell ref="E61:E66"/>
    <mergeCell ref="F61:G61"/>
    <mergeCell ref="F62:G62"/>
    <mergeCell ref="D17:E17"/>
    <mergeCell ref="A21:C21"/>
    <mergeCell ref="E31:E37"/>
    <mergeCell ref="A63:B63"/>
    <mergeCell ref="F63:G63"/>
    <mergeCell ref="F32:G32"/>
    <mergeCell ref="F34:G34"/>
    <mergeCell ref="F20:G20"/>
    <mergeCell ref="A23:E23"/>
    <mergeCell ref="A24:E27"/>
    <mergeCell ref="F19:G19"/>
    <mergeCell ref="A51:D55"/>
    <mergeCell ref="A50:D50"/>
    <mergeCell ref="F39:G39"/>
    <mergeCell ref="F40:G40"/>
    <mergeCell ref="F41:G41"/>
  </mergeCells>
  <dataValidations count="2">
    <dataValidation allowBlank="1" sqref="B14" xr:uid="{3B2EDCCF-CD58-403E-A335-361CC146A351}"/>
    <dataValidation showInputMessage="1" showErrorMessage="1" sqref="F51:F52 F43 F38 C38 B40" xr:uid="{E83E7B88-20C9-4BEE-BD81-211628073F51}"/>
  </dataValidations>
  <printOptions horizontalCentered="1"/>
  <pageMargins left="0.39370078740157483" right="0.39370078740157483" top="0.39370078740157483" bottom="0.39370078740157483" header="0.31496062992125984" footer="0.31496062992125984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000-000001000000}">
          <x14:formula1>
            <xm:f>Feuil2!$B$1:$B$5</xm:f>
          </x14:formula1>
          <xm:sqref>B13</xm:sqref>
        </x14:dataValidation>
        <x14:dataValidation type="list" allowBlank="1" xr:uid="{00000000-0002-0000-0000-000002000000}">
          <x14:formula1>
            <xm:f>Feuil2!$C$1:$C$3</xm:f>
          </x14:formula1>
          <xm:sqref>F17 F68:F69 F56:F57</xm:sqref>
        </x14:dataValidation>
        <x14:dataValidation type="list" showInputMessage="1" showErrorMessage="1" xr:uid="{65334F32-FB31-43EF-9D5B-445CEE2967B1}">
          <x14:formula1>
            <xm:f>Feuil2!$E$1:$E$2</xm:f>
          </x14:formula1>
          <xm:sqref>B15:C15</xm:sqref>
        </x14:dataValidation>
        <x14:dataValidation type="list" allowBlank="1" showInputMessage="1" showErrorMessage="1" xr:uid="{52DC009E-9035-451B-A7A3-76D5A29537F2}">
          <x14:formula1>
            <xm:f>Feuil2!$F$1:$F$30</xm:f>
          </x14:formula1>
          <xm:sqref>B9</xm:sqref>
        </x14:dataValidation>
        <x14:dataValidation type="list" allowBlank="1" xr:uid="{00000000-0002-0000-0000-000000000000}">
          <x14:formula1>
            <xm:f>Feuil2!$A$1:$A$7</xm:f>
          </x14:formula1>
          <xm:sqref>B4</xm:sqref>
        </x14:dataValidation>
        <x14:dataValidation type="list" allowBlank="1" xr:uid="{4ECFE60F-2EEA-4B12-8334-6EB7A7282E16}">
          <x14:formula1>
            <xm:f>Feuil2!$A$1:$A$8</xm:f>
          </x14:formula1>
          <xm:sqref>F2</xm:sqref>
        </x14:dataValidation>
        <x14:dataValidation type="list" showInputMessage="1" showErrorMessage="1" xr:uid="{1D5B03AB-2B85-4A0E-92CE-57AFFB147E1A}">
          <x14:formula1>
            <xm:f>Feuil2!$C$1:$C$2</xm:f>
          </x14:formula1>
          <xm:sqref>F48:F50 C37 B36 B41 B43:B44</xm:sqref>
        </x14:dataValidation>
        <x14:dataValidation type="list" showInputMessage="1" showErrorMessage="1" xr:uid="{890BED5A-CED0-4736-8B44-5BB742E5BD5D}">
          <x14:formula1>
            <xm:f>Feuil2!$D$1:$D$8</xm:f>
          </x14:formula1>
          <xm:sqref>B42</xm:sqref>
        </x14:dataValidation>
        <x14:dataValidation type="list" allowBlank="1" xr:uid="{5F7C758B-15A9-45CA-9017-2A3FFDD9B4E2}">
          <x14:formula1>
            <xm:f>Feuil2!$K$2:$K$10</xm:f>
          </x14:formula1>
          <xm:sqref>F39:F41</xm:sqref>
        </x14:dataValidation>
        <x14:dataValidation type="list" allowBlank="1" xr:uid="{E0323D5B-C0D2-4267-B375-21FBA3A6586C}">
          <x14:formula1>
            <xm:f>Feuil2!$N$2:$N$5</xm:f>
          </x14:formula1>
          <xm:sqref>B34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selection activeCell="I8" sqref="I8"/>
    </sheetView>
  </sheetViews>
  <sheetFormatPr baseColWidth="10" defaultColWidth="11.42578125" defaultRowHeight="15" x14ac:dyDescent="0.25"/>
  <cols>
    <col min="2" max="2" width="16.28515625" customWidth="1"/>
    <col min="5" max="5" width="25.28515625" bestFit="1" customWidth="1"/>
    <col min="6" max="6" width="31.5703125" customWidth="1"/>
    <col min="7" max="7" width="14.5703125" bestFit="1" customWidth="1"/>
    <col min="8" max="8" width="7.28515625" customWidth="1"/>
    <col min="11" max="11" width="20.7109375" customWidth="1"/>
    <col min="12" max="12" width="28.28515625" customWidth="1"/>
    <col min="13" max="13" width="14.28515625" customWidth="1"/>
  </cols>
  <sheetData>
    <row r="1" spans="1:14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H1" t="s">
        <v>65</v>
      </c>
      <c r="I1" s="14" t="s">
        <v>66</v>
      </c>
      <c r="J1" t="s">
        <v>67</v>
      </c>
    </row>
    <row r="2" spans="1:14" x14ac:dyDescent="0.25">
      <c r="A2" t="s">
        <v>68</v>
      </c>
      <c r="B2" t="s">
        <v>69</v>
      </c>
      <c r="C2" t="s">
        <v>63</v>
      </c>
      <c r="D2" t="s">
        <v>70</v>
      </c>
      <c r="E2" t="s">
        <v>71</v>
      </c>
      <c r="F2" t="s">
        <v>72</v>
      </c>
      <c r="G2" t="s">
        <v>73</v>
      </c>
      <c r="H2">
        <v>500</v>
      </c>
      <c r="I2" s="14"/>
      <c r="K2" t="s">
        <v>74</v>
      </c>
      <c r="L2" s="64" t="s">
        <v>75</v>
      </c>
      <c r="M2" s="15" t="s">
        <v>76</v>
      </c>
      <c r="N2" t="s">
        <v>77</v>
      </c>
    </row>
    <row r="3" spans="1:14" x14ac:dyDescent="0.25">
      <c r="A3" t="s">
        <v>78</v>
      </c>
      <c r="B3" t="s">
        <v>79</v>
      </c>
      <c r="D3" t="s">
        <v>80</v>
      </c>
      <c r="F3" t="s">
        <v>81</v>
      </c>
      <c r="G3" t="s">
        <v>82</v>
      </c>
      <c r="H3">
        <v>570</v>
      </c>
      <c r="I3" s="14">
        <v>490</v>
      </c>
      <c r="J3" s="15" t="s">
        <v>83</v>
      </c>
      <c r="K3" t="s">
        <v>84</v>
      </c>
      <c r="L3" s="64" t="s">
        <v>85</v>
      </c>
      <c r="M3" s="15" t="s">
        <v>86</v>
      </c>
      <c r="N3" t="s">
        <v>87</v>
      </c>
    </row>
    <row r="4" spans="1:14" x14ac:dyDescent="0.25">
      <c r="A4" t="s">
        <v>88</v>
      </c>
      <c r="B4" t="s">
        <v>89</v>
      </c>
      <c r="D4" t="s">
        <v>90</v>
      </c>
      <c r="F4" t="s">
        <v>91</v>
      </c>
      <c r="G4" t="s">
        <v>82</v>
      </c>
      <c r="H4">
        <v>590</v>
      </c>
      <c r="I4" s="14">
        <v>540</v>
      </c>
      <c r="J4" s="15" t="s">
        <v>92</v>
      </c>
      <c r="K4" t="s">
        <v>93</v>
      </c>
      <c r="L4" s="64" t="s">
        <v>94</v>
      </c>
      <c r="M4" s="15" t="s">
        <v>95</v>
      </c>
    </row>
    <row r="5" spans="1:14" x14ac:dyDescent="0.25">
      <c r="A5" t="s">
        <v>96</v>
      </c>
      <c r="D5" t="s">
        <v>97</v>
      </c>
      <c r="F5" t="s">
        <v>98</v>
      </c>
      <c r="G5" t="s">
        <v>82</v>
      </c>
      <c r="H5">
        <v>630</v>
      </c>
      <c r="I5" s="14">
        <v>570</v>
      </c>
      <c r="J5" s="15" t="s">
        <v>99</v>
      </c>
      <c r="K5" t="s">
        <v>100</v>
      </c>
      <c r="L5" s="64" t="s">
        <v>101</v>
      </c>
      <c r="M5" s="15" t="s">
        <v>102</v>
      </c>
    </row>
    <row r="6" spans="1:14" x14ac:dyDescent="0.25">
      <c r="A6" t="s">
        <v>103</v>
      </c>
      <c r="D6" t="s">
        <v>104</v>
      </c>
      <c r="F6" t="s">
        <v>105</v>
      </c>
      <c r="G6" t="s">
        <v>106</v>
      </c>
      <c r="H6">
        <v>670</v>
      </c>
      <c r="I6" s="14">
        <v>630</v>
      </c>
      <c r="J6" s="15" t="s">
        <v>107</v>
      </c>
      <c r="K6" t="s">
        <v>108</v>
      </c>
      <c r="L6" s="64" t="s">
        <v>109</v>
      </c>
      <c r="M6" s="15" t="s">
        <v>110</v>
      </c>
    </row>
    <row r="7" spans="1:14" x14ac:dyDescent="0.25">
      <c r="A7" t="s">
        <v>111</v>
      </c>
      <c r="D7" t="s">
        <v>112</v>
      </c>
      <c r="F7" t="s">
        <v>113</v>
      </c>
      <c r="G7" t="s">
        <v>114</v>
      </c>
      <c r="H7">
        <v>710</v>
      </c>
      <c r="I7" s="14" t="s">
        <v>115</v>
      </c>
      <c r="J7" s="15" t="s">
        <v>116</v>
      </c>
      <c r="K7" t="s">
        <v>117</v>
      </c>
      <c r="L7" s="64" t="s">
        <v>118</v>
      </c>
      <c r="M7" s="15" t="s">
        <v>119</v>
      </c>
    </row>
    <row r="8" spans="1:14" x14ac:dyDescent="0.25">
      <c r="A8" t="s">
        <v>120</v>
      </c>
      <c r="D8" t="s">
        <v>121</v>
      </c>
      <c r="F8" t="s">
        <v>122</v>
      </c>
      <c r="G8" t="s">
        <v>114</v>
      </c>
      <c r="H8">
        <v>790</v>
      </c>
      <c r="I8" s="14" t="s">
        <v>123</v>
      </c>
      <c r="J8" s="15" t="s">
        <v>124</v>
      </c>
    </row>
    <row r="9" spans="1:14" x14ac:dyDescent="0.25">
      <c r="F9" s="13" t="s">
        <v>125</v>
      </c>
      <c r="G9" t="s">
        <v>126</v>
      </c>
      <c r="H9">
        <v>1300</v>
      </c>
      <c r="I9" s="14" t="s">
        <v>127</v>
      </c>
      <c r="J9" s="15" t="s">
        <v>128</v>
      </c>
    </row>
    <row r="10" spans="1:14" x14ac:dyDescent="0.25">
      <c r="F10" s="13" t="s">
        <v>129</v>
      </c>
      <c r="G10" t="s">
        <v>126</v>
      </c>
      <c r="H10">
        <v>1400</v>
      </c>
      <c r="I10" s="14"/>
      <c r="J10" s="15" t="s">
        <v>130</v>
      </c>
    </row>
    <row r="11" spans="1:14" x14ac:dyDescent="0.25">
      <c r="F11" s="13" t="s">
        <v>131</v>
      </c>
      <c r="G11" t="s">
        <v>126</v>
      </c>
      <c r="H11">
        <v>1500</v>
      </c>
      <c r="I11" s="14"/>
      <c r="J11" s="15" t="s">
        <v>132</v>
      </c>
    </row>
    <row r="12" spans="1:14" x14ac:dyDescent="0.25">
      <c r="F12" t="s">
        <v>133</v>
      </c>
      <c r="G12" t="s">
        <v>134</v>
      </c>
      <c r="H12">
        <v>560</v>
      </c>
      <c r="I12" s="14">
        <v>450</v>
      </c>
      <c r="J12" s="15" t="s">
        <v>135</v>
      </c>
    </row>
    <row r="13" spans="1:14" x14ac:dyDescent="0.25">
      <c r="F13" t="s">
        <v>136</v>
      </c>
      <c r="G13" t="s">
        <v>134</v>
      </c>
      <c r="H13">
        <v>580</v>
      </c>
      <c r="J13" s="15" t="s">
        <v>137</v>
      </c>
    </row>
    <row r="14" spans="1:14" x14ac:dyDescent="0.25">
      <c r="F14" t="s">
        <v>138</v>
      </c>
      <c r="G14" t="s">
        <v>134</v>
      </c>
      <c r="H14">
        <v>600</v>
      </c>
      <c r="J14" s="15" t="s">
        <v>139</v>
      </c>
    </row>
    <row r="15" spans="1:14" x14ac:dyDescent="0.25">
      <c r="F15" t="s">
        <v>140</v>
      </c>
      <c r="G15" t="s">
        <v>141</v>
      </c>
      <c r="H15">
        <v>620</v>
      </c>
      <c r="J15" s="15" t="s">
        <v>142</v>
      </c>
    </row>
    <row r="16" spans="1:14" x14ac:dyDescent="0.25">
      <c r="F16" t="s">
        <v>143</v>
      </c>
      <c r="G16" t="s">
        <v>144</v>
      </c>
      <c r="H16">
        <v>370</v>
      </c>
      <c r="I16" s="14"/>
      <c r="J16" s="15" t="s">
        <v>145</v>
      </c>
    </row>
    <row r="17" spans="6:10" x14ac:dyDescent="0.25">
      <c r="F17" t="s">
        <v>146</v>
      </c>
      <c r="G17" t="s">
        <v>144</v>
      </c>
      <c r="H17">
        <v>380</v>
      </c>
      <c r="I17" s="14"/>
      <c r="J17" s="15" t="s">
        <v>147</v>
      </c>
    </row>
    <row r="18" spans="6:10" x14ac:dyDescent="0.25">
      <c r="F18" t="s">
        <v>148</v>
      </c>
      <c r="G18" t="s">
        <v>144</v>
      </c>
      <c r="H18">
        <v>400</v>
      </c>
      <c r="I18" s="14"/>
      <c r="J18" s="15" t="s">
        <v>149</v>
      </c>
    </row>
    <row r="19" spans="6:10" x14ac:dyDescent="0.25">
      <c r="F19" t="s">
        <v>150</v>
      </c>
      <c r="G19" t="s">
        <v>144</v>
      </c>
      <c r="H19">
        <v>420</v>
      </c>
      <c r="I19" s="14"/>
      <c r="J19" s="15" t="s">
        <v>151</v>
      </c>
    </row>
    <row r="20" spans="6:10" x14ac:dyDescent="0.25">
      <c r="F20" t="s">
        <v>152</v>
      </c>
      <c r="G20" t="s">
        <v>144</v>
      </c>
      <c r="H20">
        <v>440</v>
      </c>
      <c r="I20" s="14"/>
      <c r="J20" s="15" t="s">
        <v>153</v>
      </c>
    </row>
    <row r="22" spans="6:10" x14ac:dyDescent="0.25">
      <c r="F22" t="s">
        <v>154</v>
      </c>
      <c r="G22" t="s">
        <v>155</v>
      </c>
      <c r="H22">
        <v>250</v>
      </c>
      <c r="I22">
        <v>250</v>
      </c>
    </row>
    <row r="23" spans="6:10" x14ac:dyDescent="0.25">
      <c r="F23" t="s">
        <v>156</v>
      </c>
      <c r="G23" t="s">
        <v>157</v>
      </c>
      <c r="H23">
        <v>450</v>
      </c>
      <c r="I23">
        <v>450</v>
      </c>
    </row>
    <row r="24" spans="6:10" x14ac:dyDescent="0.25">
      <c r="F24" t="s">
        <v>158</v>
      </c>
      <c r="G24" t="s">
        <v>159</v>
      </c>
      <c r="H24">
        <v>70</v>
      </c>
      <c r="I24" t="s">
        <v>160</v>
      </c>
    </row>
    <row r="26" spans="6:10" x14ac:dyDescent="0.25">
      <c r="F26" t="s">
        <v>161</v>
      </c>
      <c r="G26" s="21" t="s">
        <v>73</v>
      </c>
      <c r="H26" s="67">
        <v>600</v>
      </c>
      <c r="I26">
        <v>600</v>
      </c>
    </row>
    <row r="27" spans="6:10" x14ac:dyDescent="0.25">
      <c r="F27" t="s">
        <v>162</v>
      </c>
      <c r="G27" s="21" t="s">
        <v>163</v>
      </c>
      <c r="H27" s="67">
        <v>576</v>
      </c>
      <c r="I27">
        <v>576</v>
      </c>
    </row>
    <row r="28" spans="6:10" x14ac:dyDescent="0.25">
      <c r="F28" t="s">
        <v>164</v>
      </c>
      <c r="G28" s="21" t="s">
        <v>165</v>
      </c>
      <c r="H28" s="67">
        <v>250</v>
      </c>
      <c r="I28" t="s">
        <v>166</v>
      </c>
    </row>
  </sheetData>
  <phoneticPr fontId="8" type="noConversion"/>
  <hyperlinks>
    <hyperlink ref="L7" r:id="rId1" xr:uid="{34436BFC-6CC8-4161-B667-3322D6626375}"/>
    <hyperlink ref="L6" r:id="rId2" xr:uid="{D062B42E-D07B-4518-B0F6-A976E3CECBB3}"/>
    <hyperlink ref="L4" r:id="rId3" xr:uid="{752E989C-E70D-4DA6-B56C-D105FC5B845D}"/>
    <hyperlink ref="L5" r:id="rId4" xr:uid="{75F5FBFB-82D9-4B47-AE6E-E39600CFE52D}"/>
    <hyperlink ref="L3" r:id="rId5" xr:uid="{6F2FE5FE-D0C3-4E37-AEE1-C27A4B43610D}"/>
    <hyperlink ref="L2" r:id="rId6" xr:uid="{3E5316CF-2248-4989-8113-CAF8BD5572C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57E73D50805448ADDF354447094F2" ma:contentTypeVersion="13" ma:contentTypeDescription="Crée un document." ma:contentTypeScope="" ma:versionID="9f34abd8ed7ae44d9df82300ebf86cbb">
  <xsd:schema xmlns:xsd="http://www.w3.org/2001/XMLSchema" xmlns:xs="http://www.w3.org/2001/XMLSchema" xmlns:p="http://schemas.microsoft.com/office/2006/metadata/properties" xmlns:ns2="d3a21707-f188-4306-bca9-61effecd7be5" xmlns:ns3="341b50f7-8e4a-480b-b780-a66a0d20b5bc" targetNamespace="http://schemas.microsoft.com/office/2006/metadata/properties" ma:root="true" ma:fieldsID="a4ec688fdf84b1258f00fbeff5cfcfda" ns2:_="" ns3:_="">
    <xsd:import namespace="d3a21707-f188-4306-bca9-61effecd7be5"/>
    <xsd:import namespace="341b50f7-8e4a-480b-b780-a66a0d20b5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Im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21707-f188-4306-bca9-61effecd7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afa3ded-54ed-4516-83d4-7194a3cd4b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Image" ma:index="20" nillable="true" ma:displayName="Image" ma:format="Thumbnail" ma:internalName="Imag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b50f7-8e4a-480b-b780-a66a0d20b5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36e3a5-ae6b-4477-95ad-7f3d4092ac42}" ma:internalName="TaxCatchAll" ma:showField="CatchAllData" ma:web="341b50f7-8e4a-480b-b780-a66a0d20b5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1b50f7-8e4a-480b-b780-a66a0d20b5bc" xsi:nil="true"/>
    <lcf76f155ced4ddcb4097134ff3c332f xmlns="d3a21707-f188-4306-bca9-61effecd7be5">
      <Terms xmlns="http://schemas.microsoft.com/office/infopath/2007/PartnerControls"/>
    </lcf76f155ced4ddcb4097134ff3c332f>
    <Image xmlns="d3a21707-f188-4306-bca9-61effecd7be5" xsi:nil="true"/>
  </documentManagement>
</p:properties>
</file>

<file path=customXml/itemProps1.xml><?xml version="1.0" encoding="utf-8"?>
<ds:datastoreItem xmlns:ds="http://schemas.openxmlformats.org/officeDocument/2006/customXml" ds:itemID="{C719ADFB-64BB-4B99-92FC-B4171E342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21707-f188-4306-bca9-61effecd7be5"/>
    <ds:schemaRef ds:uri="341b50f7-8e4a-480b-b780-a66a0d20b5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21A543-5BB1-4F65-9199-5940A5560F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D9862-A457-41F6-8E93-588A24628EB0}">
  <ds:schemaRefs>
    <ds:schemaRef ds:uri="http://schemas.microsoft.com/office/2006/metadata/properties"/>
    <ds:schemaRef ds:uri="http://schemas.microsoft.com/office/infopath/2007/PartnerControls"/>
    <ds:schemaRef ds:uri="341b50f7-8e4a-480b-b780-a66a0d20b5bc"/>
    <ds:schemaRef ds:uri="d3a21707-f188-4306-bca9-61effecd7b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Benoît Giraud</dc:creator>
  <cp:keywords/>
  <dc:description/>
  <cp:lastModifiedBy>Damien TUYPENS</cp:lastModifiedBy>
  <cp:revision/>
  <dcterms:created xsi:type="dcterms:W3CDTF">2017-09-29T07:15:50Z</dcterms:created>
  <dcterms:modified xsi:type="dcterms:W3CDTF">2026-02-09T12:26:22Z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0x0101003B357E73D50805448ADDF354447094F2</vt:lpwstr>
  </property>
  <property fmtid="{D5CDD505-2E9C-101B-9397-08002B2CF9AE}" pid="3" name="MediaServiceImageTags">
    <vt:lpwstr/>
  </property>
</Properties>
</file>