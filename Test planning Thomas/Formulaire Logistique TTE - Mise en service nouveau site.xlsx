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motech.sharepoint.com/sites/IntranetTTE/Documents partages/General/1 - Formulaire vierge/"/>
    </mc:Choice>
  </mc:AlternateContent>
  <xr:revisionPtr revIDLastSave="28" documentId="13_ncr:1_{C8B9D27F-C21B-4774-8875-E015909FDF7E}" xr6:coauthVersionLast="47" xr6:coauthVersionMax="47" xr10:uidLastSave="{8805AD49-AA16-4D29-88BA-FB1769A309B9}"/>
  <bookViews>
    <workbookView minimized="1" xWindow="33900" yWindow="6825" windowWidth="21600" windowHeight="11235" tabRatio="750" xr2:uid="{00000000-000D-0000-FFFF-FFFF00000000}"/>
  </bookViews>
  <sheets>
    <sheet name="Installation" sheetId="13" r:id="rId1"/>
    <sheet name="Consos MeS" sheetId="14" r:id="rId2"/>
    <sheet name="REV_AN" sheetId="16" r:id="rId3"/>
    <sheet name="REV_SEM" sheetId="17" state="hidden" r:id="rId4"/>
    <sheet name="listes" sheetId="8" r:id="rId5"/>
    <sheet name="filtres" sheetId="11" state="hidden" r:id="rId6"/>
    <sheet name="carters" sheetId="12" state="hidden" r:id="rId7"/>
  </sheets>
  <externalReferences>
    <externalReference r:id="rId8"/>
    <externalReference r:id="rId9"/>
  </externalReferences>
  <definedNames>
    <definedName name="Big_Blue">carters!$E$2:$E$8</definedName>
    <definedName name="Carter">carters!$A$2:$A$7</definedName>
    <definedName name="Coreless">carters!$D$2:$D$7</definedName>
    <definedName name="EMS_03">carters!$F$3:$F$15</definedName>
    <definedName name="EMS_05">carters!$G$2:$G$15</definedName>
    <definedName name="PCY_27">carters!$I$2:$I$6</definedName>
    <definedName name="Standard">carters!$H$2:$H$15</definedName>
    <definedName name="_xlnm.Print_Area" localSheetId="1">'Consos MeS'!$D$1:$H$49</definedName>
    <definedName name="_xlnm.Print_Area" localSheetId="0">Installation!$A$1:$I$65</definedName>
    <definedName name="_xlnm.Print_Area" localSheetId="2">REV_AN!$A$1:$D$35</definedName>
    <definedName name="_xlnm.Print_Area" localSheetId="3">REV_SEM!$A$1:$D$20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7" l="1" a="1"/>
  <c r="C13" i="17" s="1"/>
  <c r="B13" i="17" s="1"/>
  <c r="A6" i="17"/>
  <c r="A6" i="16"/>
  <c r="I92" i="11"/>
  <c r="H92" i="11"/>
  <c r="G92" i="11"/>
  <c r="F92" i="11"/>
  <c r="E92" i="11"/>
  <c r="D92" i="11"/>
  <c r="C92" i="11"/>
  <c r="E32" i="14" s="1"/>
  <c r="I91" i="11"/>
  <c r="H91" i="11"/>
  <c r="G91" i="11"/>
  <c r="F91" i="11"/>
  <c r="E91" i="11"/>
  <c r="D91" i="11"/>
  <c r="C91" i="11"/>
  <c r="I90" i="11"/>
  <c r="H90" i="11"/>
  <c r="G90" i="11"/>
  <c r="F90" i="11"/>
  <c r="E90" i="11"/>
  <c r="D90" i="11"/>
  <c r="C90" i="11"/>
  <c r="E30" i="14" s="1"/>
  <c r="I89" i="11"/>
  <c r="H89" i="11"/>
  <c r="G89" i="11"/>
  <c r="F89" i="11"/>
  <c r="E89" i="11"/>
  <c r="D89" i="11"/>
  <c r="C89" i="11"/>
  <c r="E29" i="14" s="1"/>
  <c r="H87" i="11"/>
  <c r="G87" i="11"/>
  <c r="F87" i="11"/>
  <c r="E87" i="11"/>
  <c r="D87" i="11"/>
  <c r="C87" i="11"/>
  <c r="H85" i="11"/>
  <c r="G85" i="11"/>
  <c r="F85" i="11"/>
  <c r="E85" i="11"/>
  <c r="D85" i="11"/>
  <c r="C85" i="11"/>
  <c r="H83" i="11"/>
  <c r="G83" i="11"/>
  <c r="F83" i="11"/>
  <c r="E83" i="11"/>
  <c r="D83" i="11"/>
  <c r="C83" i="11"/>
  <c r="H82" i="11"/>
  <c r="G82" i="11"/>
  <c r="F82" i="11"/>
  <c r="E82" i="11"/>
  <c r="D82" i="11"/>
  <c r="C82" i="11"/>
  <c r="H81" i="11"/>
  <c r="G81" i="11"/>
  <c r="F81" i="11"/>
  <c r="E81" i="11"/>
  <c r="D81" i="11"/>
  <c r="C81" i="11"/>
  <c r="H79" i="11"/>
  <c r="G79" i="11"/>
  <c r="F79" i="11"/>
  <c r="E79" i="11"/>
  <c r="D79" i="11"/>
  <c r="C79" i="11"/>
  <c r="H78" i="11"/>
  <c r="G78" i="11"/>
  <c r="F78" i="11"/>
  <c r="E78" i="11"/>
  <c r="D78" i="11"/>
  <c r="C78" i="11"/>
  <c r="H77" i="11"/>
  <c r="G77" i="11"/>
  <c r="F77" i="11"/>
  <c r="E77" i="11"/>
  <c r="D77" i="11"/>
  <c r="C77" i="11"/>
  <c r="H76" i="11"/>
  <c r="G76" i="11"/>
  <c r="F76" i="11"/>
  <c r="E76" i="11"/>
  <c r="D76" i="11"/>
  <c r="C76" i="11"/>
  <c r="H75" i="11"/>
  <c r="G75" i="11"/>
  <c r="F75" i="11"/>
  <c r="E75" i="11"/>
  <c r="D75" i="11"/>
  <c r="C75" i="11"/>
  <c r="H72" i="11"/>
  <c r="G72" i="11"/>
  <c r="F72" i="11"/>
  <c r="E72" i="11"/>
  <c r="D72" i="11"/>
  <c r="C72" i="11"/>
  <c r="H71" i="11"/>
  <c r="G71" i="11"/>
  <c r="F71" i="11"/>
  <c r="E71" i="11"/>
  <c r="D71" i="11"/>
  <c r="C71" i="11"/>
  <c r="H69" i="11"/>
  <c r="G69" i="11"/>
  <c r="F69" i="11"/>
  <c r="E69" i="11"/>
  <c r="D69" i="11"/>
  <c r="C69" i="11"/>
  <c r="H68" i="11"/>
  <c r="G68" i="11"/>
  <c r="F68" i="11"/>
  <c r="E68" i="11"/>
  <c r="D68" i="11"/>
  <c r="C68" i="11"/>
  <c r="H67" i="11"/>
  <c r="G67" i="11"/>
  <c r="F67" i="11"/>
  <c r="E67" i="11"/>
  <c r="D67" i="11"/>
  <c r="C67" i="11"/>
  <c r="H66" i="11"/>
  <c r="G66" i="11"/>
  <c r="F66" i="11"/>
  <c r="E66" i="11"/>
  <c r="D66" i="11"/>
  <c r="C66" i="11"/>
  <c r="H65" i="11"/>
  <c r="G65" i="11"/>
  <c r="F65" i="11"/>
  <c r="E65" i="11"/>
  <c r="D65" i="11"/>
  <c r="C65" i="11"/>
  <c r="H64" i="11"/>
  <c r="G64" i="11"/>
  <c r="F64" i="11"/>
  <c r="E64" i="11"/>
  <c r="D64" i="11"/>
  <c r="C64" i="11"/>
  <c r="H63" i="11"/>
  <c r="G63" i="11"/>
  <c r="F63" i="11"/>
  <c r="E63" i="11"/>
  <c r="D63" i="11"/>
  <c r="C63" i="11"/>
  <c r="H62" i="11"/>
  <c r="G62" i="11"/>
  <c r="F62" i="11"/>
  <c r="E62" i="11"/>
  <c r="D62" i="11"/>
  <c r="C62" i="11"/>
  <c r="H61" i="11"/>
  <c r="G61" i="11"/>
  <c r="F61" i="11"/>
  <c r="E61" i="11"/>
  <c r="D61" i="11"/>
  <c r="C61" i="11"/>
  <c r="H59" i="11"/>
  <c r="G59" i="11"/>
  <c r="F59" i="11"/>
  <c r="E59" i="11"/>
  <c r="D59" i="11"/>
  <c r="C59" i="11"/>
  <c r="H58" i="11"/>
  <c r="G58" i="11"/>
  <c r="F58" i="11"/>
  <c r="E58" i="11"/>
  <c r="D58" i="11"/>
  <c r="C58" i="11"/>
  <c r="H57" i="11"/>
  <c r="G57" i="11"/>
  <c r="F57" i="11"/>
  <c r="E57" i="11"/>
  <c r="D57" i="11"/>
  <c r="C57" i="11"/>
  <c r="H56" i="11"/>
  <c r="G56" i="11"/>
  <c r="F56" i="11"/>
  <c r="E56" i="11"/>
  <c r="D56" i="11"/>
  <c r="C56" i="11"/>
  <c r="H55" i="11"/>
  <c r="G55" i="11"/>
  <c r="F55" i="11"/>
  <c r="E55" i="11"/>
  <c r="D55" i="11"/>
  <c r="C55" i="11"/>
  <c r="H53" i="11"/>
  <c r="G53" i="11"/>
  <c r="F53" i="11"/>
  <c r="E53" i="11"/>
  <c r="D53" i="11"/>
  <c r="C53" i="11"/>
  <c r="H52" i="11"/>
  <c r="G52" i="11"/>
  <c r="F52" i="11"/>
  <c r="E52" i="11"/>
  <c r="D52" i="11"/>
  <c r="C52" i="11"/>
  <c r="H51" i="11"/>
  <c r="G51" i="11"/>
  <c r="F51" i="11"/>
  <c r="E51" i="11"/>
  <c r="D51" i="11"/>
  <c r="C51" i="11"/>
  <c r="H50" i="11"/>
  <c r="G50" i="11"/>
  <c r="F50" i="11"/>
  <c r="E50" i="11"/>
  <c r="D50" i="11"/>
  <c r="C50" i="11"/>
  <c r="H49" i="11"/>
  <c r="G49" i="11"/>
  <c r="F49" i="11"/>
  <c r="E49" i="11"/>
  <c r="D49" i="11"/>
  <c r="C49" i="11"/>
  <c r="H48" i="11"/>
  <c r="G48" i="11"/>
  <c r="F48" i="11"/>
  <c r="E48" i="11"/>
  <c r="D48" i="11"/>
  <c r="C48" i="11"/>
  <c r="H47" i="11"/>
  <c r="G47" i="11"/>
  <c r="F47" i="11"/>
  <c r="E47" i="11"/>
  <c r="D47" i="11"/>
  <c r="C47" i="11"/>
  <c r="H46" i="11"/>
  <c r="G46" i="11"/>
  <c r="F46" i="11"/>
  <c r="E46" i="11"/>
  <c r="D46" i="11"/>
  <c r="C46" i="11"/>
  <c r="H45" i="11"/>
  <c r="G45" i="11"/>
  <c r="F45" i="11"/>
  <c r="E45" i="11"/>
  <c r="D45" i="11"/>
  <c r="C45" i="11"/>
  <c r="H44" i="11"/>
  <c r="G44" i="11"/>
  <c r="F44" i="11"/>
  <c r="E44" i="11"/>
  <c r="D44" i="11"/>
  <c r="C44" i="11"/>
  <c r="H43" i="11"/>
  <c r="G43" i="11"/>
  <c r="F43" i="11"/>
  <c r="E43" i="11"/>
  <c r="D43" i="11"/>
  <c r="C43" i="11"/>
  <c r="H42" i="11"/>
  <c r="G42" i="11"/>
  <c r="F42" i="11"/>
  <c r="E42" i="11"/>
  <c r="D42" i="11"/>
  <c r="C42" i="11"/>
  <c r="H40" i="11"/>
  <c r="G40" i="11"/>
  <c r="F40" i="11"/>
  <c r="E40" i="11"/>
  <c r="D40" i="11"/>
  <c r="C40" i="11"/>
  <c r="H39" i="11"/>
  <c r="G39" i="11"/>
  <c r="F39" i="11"/>
  <c r="E39" i="11"/>
  <c r="D39" i="11"/>
  <c r="C39" i="11"/>
  <c r="H38" i="11"/>
  <c r="G38" i="11"/>
  <c r="F38" i="11"/>
  <c r="E38" i="11"/>
  <c r="D38" i="11"/>
  <c r="C38" i="11"/>
  <c r="H37" i="11"/>
  <c r="G37" i="11"/>
  <c r="F37" i="11"/>
  <c r="E37" i="11"/>
  <c r="D37" i="11"/>
  <c r="C37" i="11"/>
  <c r="H36" i="11"/>
  <c r="G36" i="11"/>
  <c r="F36" i="11"/>
  <c r="E36" i="11"/>
  <c r="D36" i="11"/>
  <c r="C36" i="11"/>
  <c r="H34" i="11"/>
  <c r="G34" i="11"/>
  <c r="F34" i="11"/>
  <c r="E34" i="11"/>
  <c r="D34" i="11"/>
  <c r="C34" i="11"/>
  <c r="H33" i="11"/>
  <c r="G33" i="11"/>
  <c r="F33" i="11"/>
  <c r="E33" i="11"/>
  <c r="D33" i="11"/>
  <c r="C33" i="11"/>
  <c r="H31" i="11"/>
  <c r="G31" i="11"/>
  <c r="F31" i="11"/>
  <c r="E31" i="11"/>
  <c r="D31" i="11"/>
  <c r="C31" i="11"/>
  <c r="H30" i="11"/>
  <c r="G30" i="11"/>
  <c r="F30" i="11"/>
  <c r="E30" i="11"/>
  <c r="D30" i="11"/>
  <c r="C30" i="11"/>
  <c r="H29" i="11"/>
  <c r="G29" i="11"/>
  <c r="F29" i="11"/>
  <c r="E29" i="11"/>
  <c r="D29" i="11"/>
  <c r="C29" i="11"/>
  <c r="H28" i="11"/>
  <c r="G28" i="11"/>
  <c r="F28" i="11"/>
  <c r="E28" i="11"/>
  <c r="D28" i="11"/>
  <c r="C28" i="11"/>
  <c r="H27" i="11"/>
  <c r="G27" i="11"/>
  <c r="F27" i="11"/>
  <c r="E27" i="11"/>
  <c r="D27" i="11"/>
  <c r="C27" i="11"/>
  <c r="H25" i="11"/>
  <c r="G25" i="11"/>
  <c r="F25" i="11"/>
  <c r="E25" i="11"/>
  <c r="D25" i="11"/>
  <c r="C25" i="11"/>
  <c r="H24" i="11"/>
  <c r="G24" i="11"/>
  <c r="F24" i="11"/>
  <c r="E24" i="11"/>
  <c r="D24" i="11"/>
  <c r="C24" i="11"/>
  <c r="H23" i="11"/>
  <c r="G23" i="11"/>
  <c r="F23" i="11"/>
  <c r="E23" i="11"/>
  <c r="D23" i="11"/>
  <c r="C23" i="11"/>
  <c r="H21" i="11"/>
  <c r="G21" i="11"/>
  <c r="F21" i="11"/>
  <c r="E21" i="11"/>
  <c r="D21" i="11"/>
  <c r="C21" i="11"/>
  <c r="H20" i="11"/>
  <c r="G20" i="11"/>
  <c r="F20" i="11"/>
  <c r="E20" i="11"/>
  <c r="D20" i="11"/>
  <c r="C20" i="11"/>
  <c r="H19" i="11"/>
  <c r="G19" i="11"/>
  <c r="F19" i="11"/>
  <c r="E19" i="11"/>
  <c r="D19" i="11"/>
  <c r="C19" i="11"/>
  <c r="H18" i="11"/>
  <c r="G18" i="11"/>
  <c r="F18" i="11"/>
  <c r="E18" i="11"/>
  <c r="D18" i="11"/>
  <c r="C18" i="11"/>
  <c r="H16" i="11"/>
  <c r="G16" i="11"/>
  <c r="F16" i="11"/>
  <c r="E16" i="11"/>
  <c r="D16" i="11"/>
  <c r="C16" i="11"/>
  <c r="H15" i="11"/>
  <c r="G15" i="11"/>
  <c r="F15" i="11"/>
  <c r="E15" i="11"/>
  <c r="D15" i="11"/>
  <c r="C15" i="11"/>
  <c r="H14" i="11"/>
  <c r="G14" i="11"/>
  <c r="F14" i="11"/>
  <c r="E14" i="11"/>
  <c r="D14" i="11"/>
  <c r="C14" i="11"/>
  <c r="H13" i="11"/>
  <c r="G13" i="11"/>
  <c r="F13" i="11"/>
  <c r="E13" i="11"/>
  <c r="D13" i="11"/>
  <c r="C13" i="11"/>
  <c r="H12" i="11"/>
  <c r="G12" i="11"/>
  <c r="F12" i="11"/>
  <c r="E12" i="11"/>
  <c r="D12" i="11"/>
  <c r="C12" i="11"/>
  <c r="H10" i="11"/>
  <c r="G10" i="11"/>
  <c r="F10" i="11"/>
  <c r="E10" i="11"/>
  <c r="D10" i="11"/>
  <c r="C10" i="11"/>
  <c r="H8" i="11"/>
  <c r="G8" i="11"/>
  <c r="F8" i="11"/>
  <c r="E8" i="11"/>
  <c r="D8" i="11"/>
  <c r="C8" i="11"/>
  <c r="H7" i="11"/>
  <c r="G7" i="11"/>
  <c r="F7" i="11"/>
  <c r="E7" i="11"/>
  <c r="D7" i="11"/>
  <c r="C7" i="11"/>
  <c r="H5" i="11"/>
  <c r="G5" i="11"/>
  <c r="F5" i="11"/>
  <c r="E5" i="11"/>
  <c r="D5" i="11"/>
  <c r="C5" i="11"/>
  <c r="H4" i="11"/>
  <c r="G4" i="11"/>
  <c r="F4" i="11"/>
  <c r="E4" i="11"/>
  <c r="D4" i="11"/>
  <c r="C4" i="11"/>
  <c r="H3" i="11"/>
  <c r="G3" i="11"/>
  <c r="F3" i="11"/>
  <c r="E3" i="11"/>
  <c r="D3" i="11"/>
  <c r="C3" i="11"/>
  <c r="H2" i="11"/>
  <c r="G2" i="11"/>
  <c r="F2" i="11"/>
  <c r="E2" i="11"/>
  <c r="D2" i="11"/>
  <c r="C2" i="11"/>
  <c r="H4" i="14"/>
  <c r="H3" i="14"/>
  <c r="B9" i="16"/>
  <c r="G32" i="14"/>
  <c r="E31" i="14"/>
  <c r="G31" i="14" l="1"/>
  <c r="G29" i="14" l="1"/>
  <c r="G30" i="14" l="1"/>
  <c r="F32" i="14" l="1"/>
  <c r="H32" i="14" s="1"/>
  <c r="F31" i="14"/>
  <c r="H31" i="14" s="1"/>
  <c r="F30" i="14"/>
  <c r="H30" i="14" s="1"/>
  <c r="F29" i="14"/>
  <c r="H29" i="14" s="1"/>
  <c r="D12" i="14" l="1"/>
  <c r="B12" i="14"/>
  <c r="A11" i="14"/>
  <c r="C33" i="16"/>
  <c r="F33" i="16" s="1"/>
  <c r="C26" i="16" a="1"/>
  <c r="C26" i="16" s="1"/>
  <c r="E25" i="14" l="1"/>
  <c r="E12" i="14"/>
  <c r="G12" i="14" l="1"/>
  <c r="F22" i="14" l="1"/>
  <c r="G26" i="14" l="1"/>
  <c r="F26" i="14"/>
  <c r="F27" i="14"/>
  <c r="F24" i="14"/>
  <c r="F23" i="14"/>
  <c r="G24" i="14"/>
  <c r="F25" i="14"/>
  <c r="H26" i="14" l="1"/>
  <c r="H24" i="14"/>
  <c r="E27" i="14"/>
  <c r="G25" i="14"/>
  <c r="H25" i="14" l="1"/>
  <c r="C17" i="16" a="1"/>
  <c r="C17" i="16" s="1"/>
  <c r="F17" i="16" s="1"/>
  <c r="C16" i="16" a="1"/>
  <c r="C16" i="16" s="1"/>
  <c r="F16" i="16" s="1"/>
  <c r="C15" i="16" a="1"/>
  <c r="C15" i="16" s="1"/>
  <c r="F15" i="16" s="1"/>
  <c r="C13" i="16" a="1"/>
  <c r="C13" i="16" s="1"/>
  <c r="F13" i="16" s="1"/>
  <c r="E23" i="14"/>
  <c r="G22" i="14"/>
  <c r="E22" i="14"/>
  <c r="O11" i="13"/>
  <c r="O10" i="13"/>
  <c r="G23" i="14" l="1"/>
  <c r="H23" i="14" s="1"/>
  <c r="H22" i="14"/>
  <c r="C9" i="17"/>
  <c r="A8" i="17"/>
  <c r="C9" i="16"/>
  <c r="D18" i="17"/>
  <c r="C18" i="17" a="1"/>
  <c r="C18" i="17" s="1"/>
  <c r="D17" i="17"/>
  <c r="C17" i="17" a="1"/>
  <c r="C17" i="17" s="1"/>
  <c r="D16" i="17"/>
  <c r="C16" i="17" a="1"/>
  <c r="C16" i="17" s="1"/>
  <c r="D15" i="17"/>
  <c r="C15" i="17" a="1"/>
  <c r="C15" i="17" s="1"/>
  <c r="D14" i="17"/>
  <c r="C14" i="17" a="1"/>
  <c r="C14" i="17" s="1"/>
  <c r="D28" i="16"/>
  <c r="D29" i="16"/>
  <c r="C28" i="16" a="1"/>
  <c r="C28" i="16" s="1"/>
  <c r="F28" i="16" s="1"/>
  <c r="C27" i="16" a="1"/>
  <c r="C27" i="16" s="1"/>
  <c r="F27" i="16" s="1"/>
  <c r="D31" i="16"/>
  <c r="D30" i="16"/>
  <c r="C31" i="16" a="1"/>
  <c r="C31" i="16" s="1"/>
  <c r="C30" i="16" a="1"/>
  <c r="C30" i="16" s="1"/>
  <c r="C29" i="16" a="1"/>
  <c r="C29" i="16" s="1"/>
  <c r="D27" i="16"/>
  <c r="D19" i="16"/>
  <c r="C20" i="16" a="1"/>
  <c r="C20" i="16" s="1"/>
  <c r="F20" i="16" s="1"/>
  <c r="B31" i="16" l="1"/>
  <c r="F31" i="16"/>
  <c r="G31" i="16" s="1"/>
  <c r="B30" i="16"/>
  <c r="F30" i="16"/>
  <c r="G30" i="16" s="1"/>
  <c r="B29" i="16"/>
  <c r="F29" i="16"/>
  <c r="G29" i="16" s="1"/>
  <c r="F17" i="17"/>
  <c r="G17" i="17" s="1"/>
  <c r="B17" i="17"/>
  <c r="F15" i="17"/>
  <c r="G15" i="17" s="1"/>
  <c r="B15" i="17"/>
  <c r="F16" i="17"/>
  <c r="G16" i="17" s="1"/>
  <c r="B16" i="17"/>
  <c r="F18" i="17"/>
  <c r="G18" i="17" s="1"/>
  <c r="B18" i="17"/>
  <c r="F14" i="17"/>
  <c r="G14" i="17" s="1"/>
  <c r="B14" i="17"/>
  <c r="C14" i="16" a="1"/>
  <c r="C14" i="16" s="1"/>
  <c r="D17" i="16"/>
  <c r="D16" i="16"/>
  <c r="D15" i="16"/>
  <c r="D14" i="16"/>
  <c r="D13" i="16"/>
  <c r="G13" i="16" s="1"/>
  <c r="B17" i="16"/>
  <c r="B15" i="16"/>
  <c r="B13" i="16"/>
  <c r="D33" i="16"/>
  <c r="C19" i="16"/>
  <c r="F19" i="16" s="1"/>
  <c r="B14" i="16" l="1"/>
  <c r="F14" i="16"/>
  <c r="G14" i="16" s="1"/>
  <c r="G35" i="16" s="1"/>
  <c r="G20" i="17"/>
  <c r="G33" i="16"/>
  <c r="B16" i="16"/>
  <c r="G16" i="16"/>
  <c r="G17" i="16"/>
  <c r="G15" i="16"/>
  <c r="B33" i="16"/>
  <c r="D24" i="16" l="1"/>
  <c r="C24" i="16"/>
  <c r="C23" i="16"/>
  <c r="D23" i="16"/>
  <c r="C21" i="16" a="1"/>
  <c r="C21" i="16" s="1"/>
  <c r="F21" i="16" s="1"/>
  <c r="B24" i="16" l="1"/>
  <c r="F24" i="16"/>
  <c r="G24" i="16" s="1"/>
  <c r="B23" i="16"/>
  <c r="F23" i="16"/>
  <c r="G23" i="16" s="1"/>
  <c r="B21" i="16"/>
  <c r="B19" i="16"/>
  <c r="B26" i="16"/>
  <c r="F19" i="14"/>
  <c r="B9" i="14" a="1"/>
  <c r="B9" i="14" s="1"/>
  <c r="B28" i="16"/>
  <c r="B20" i="16" l="1"/>
  <c r="D21" i="16"/>
  <c r="D20" i="16"/>
  <c r="G19" i="16"/>
  <c r="G21" i="16" l="1"/>
  <c r="G20" i="16"/>
  <c r="F20" i="14" l="1"/>
  <c r="B27" i="16"/>
  <c r="E14" i="14"/>
  <c r="A8" i="16"/>
  <c r="D1" i="14" l="1"/>
  <c r="G1" i="14"/>
  <c r="E1" i="14"/>
  <c r="B10" i="14" a="1"/>
  <c r="B10" i="14" s="1"/>
  <c r="F10" i="14" s="1"/>
  <c r="B11" i="14" a="1"/>
  <c r="B11" i="14" s="1"/>
  <c r="F11" i="14" s="1"/>
  <c r="F9" i="14"/>
  <c r="B8" i="14" a="1"/>
  <c r="B8" i="14" s="1"/>
  <c r="F8" i="14" s="1"/>
  <c r="B7" i="14" a="1"/>
  <c r="B7" i="14" s="1"/>
  <c r="F7" i="14" s="1"/>
  <c r="D11" i="14"/>
  <c r="A10" i="14"/>
  <c r="D10" i="14" s="1"/>
  <c r="A9" i="14"/>
  <c r="D9" i="14" s="1"/>
  <c r="A8" i="14"/>
  <c r="D8" i="14" s="1"/>
  <c r="G14" i="14"/>
  <c r="G15" i="14"/>
  <c r="G16" i="14"/>
  <c r="G17" i="14"/>
  <c r="G18" i="14"/>
  <c r="G19" i="14"/>
  <c r="G20" i="14"/>
  <c r="G27" i="14"/>
  <c r="E15" i="14"/>
  <c r="E16" i="14"/>
  <c r="E17" i="14"/>
  <c r="E18" i="14"/>
  <c r="E19" i="14"/>
  <c r="E20" i="14"/>
  <c r="A7" i="14"/>
  <c r="D7" i="14" s="1"/>
  <c r="G7" i="14" s="1"/>
  <c r="F15" i="14"/>
  <c r="F14" i="14"/>
  <c r="F16" i="14"/>
  <c r="F18" i="14"/>
  <c r="F17" i="14"/>
  <c r="E10" i="14" l="1"/>
  <c r="G10" i="14"/>
  <c r="H10" i="14" s="1"/>
  <c r="E8" i="14"/>
  <c r="G8" i="14"/>
  <c r="H8" i="14" s="1"/>
  <c r="E11" i="14"/>
  <c r="G11" i="14"/>
  <c r="H11" i="14" s="1"/>
  <c r="E9" i="14"/>
  <c r="G9" i="14"/>
  <c r="H9" i="14" s="1"/>
  <c r="H27" i="14"/>
  <c r="H7" i="14"/>
  <c r="H33" i="14" s="1"/>
  <c r="E7" i="14"/>
  <c r="F12" i="14"/>
  <c r="H14" i="14"/>
  <c r="H15" i="14"/>
  <c r="H16" i="14"/>
  <c r="H18" i="14"/>
  <c r="H19" i="14"/>
  <c r="H20" i="14"/>
  <c r="G28" i="16" l="1"/>
  <c r="G27" i="16"/>
  <c r="H17" i="14"/>
  <c r="H1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4C8A86-12A4-48BA-814F-81D3A4A4898F}" keepAlive="1" name="Requête - Tableau1" description="Connexion à la requête « Tableau1 » dans le classeur." type="5" refreshedVersion="0" background="1">
    <dbPr connection="Provider=Microsoft.Mashup.OleDb.1;Data Source=$Workbook$;Location=Tableau1;Extended Properties=&quot;&quot;" command="SELECT * FROM [Tableau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<sst xmlns="http://schemas.openxmlformats.org/spreadsheetml/2006/main" count="506" uniqueCount="362">
  <si>
    <t>TTE / FICHE NOUVEAU SITE</t>
  </si>
  <si>
    <t>Feuille à remplir
par le  Chargé d'Affaires</t>
  </si>
  <si>
    <t>MàJ 30/10/2025</t>
  </si>
  <si>
    <t>Client :</t>
  </si>
  <si>
    <t>Code client :</t>
  </si>
  <si>
    <t>N° Affaire :</t>
  </si>
  <si>
    <t>T</t>
  </si>
  <si>
    <t>Cellules en vert :</t>
  </si>
  <si>
    <t>à saisir</t>
  </si>
  <si>
    <t>Cellules en jaune :</t>
  </si>
  <si>
    <t>liste déroulante</t>
  </si>
  <si>
    <t>Adresse :</t>
  </si>
  <si>
    <t>Prix d'achat TTE :</t>
  </si>
  <si>
    <t>Type :</t>
  </si>
  <si>
    <t>installation TTE</t>
  </si>
  <si>
    <t>Pensez à vérifier la cohérence
des réf. et quantités à fournir
sur les onglets Consos MeS
et REV_AN !</t>
  </si>
  <si>
    <t>Prix de vente TTE :</t>
  </si>
  <si>
    <t>Installateur :</t>
  </si>
  <si>
    <t>Herco therm :</t>
  </si>
  <si>
    <t>N° Herco :</t>
  </si>
  <si>
    <t>Prix d'achat :</t>
  </si>
  <si>
    <t>Date achat :</t>
  </si>
  <si>
    <t>Raccords</t>
  </si>
  <si>
    <t>00466039</t>
  </si>
  <si>
    <t>Osmoseur 1 :</t>
  </si>
  <si>
    <t>AF</t>
  </si>
  <si>
    <t>Osmoseur 2 :</t>
  </si>
  <si>
    <t>NE PAS TOUCHER LES FORMULES SUR LES DIFFERENTS ONGLETS !!!</t>
  </si>
  <si>
    <t>Osmoseur 3 :</t>
  </si>
  <si>
    <t>Consommables à livrer avant le :</t>
  </si>
  <si>
    <t>Répartiteur :</t>
  </si>
  <si>
    <t>Résistance intermédiaire :</t>
  </si>
  <si>
    <t>Embouts</t>
  </si>
  <si>
    <t>EMBPEX25-21</t>
  </si>
  <si>
    <t>===&gt;  @ :</t>
  </si>
  <si>
    <t xml:space="preserve">Garantie : </t>
  </si>
  <si>
    <t>Date prévue de mise en service :</t>
  </si>
  <si>
    <t xml:space="preserve">Maint. préventive : </t>
  </si>
  <si>
    <t>Date signature QI/QO :</t>
  </si>
  <si>
    <t>Consommables :</t>
  </si>
  <si>
    <t>Technicien référent :</t>
  </si>
  <si>
    <t>Spécificités :</t>
  </si>
  <si>
    <t>Prétraitement</t>
  </si>
  <si>
    <t>Surpresseur :</t>
  </si>
  <si>
    <r>
      <rPr>
        <b/>
        <sz val="10"/>
        <color theme="1"/>
        <rFont val="Arial"/>
        <family val="2"/>
      </rPr>
      <t>H²Observer</t>
    </r>
    <r>
      <rPr>
        <sz val="10"/>
        <color theme="1"/>
        <rFont val="Arial"/>
        <family val="2"/>
      </rPr>
      <t xml:space="preserve"> Prétraitement </t>
    </r>
  </si>
  <si>
    <t>OUI</t>
  </si>
  <si>
    <t>Colonne FAS</t>
  </si>
  <si>
    <t>Colonne CAG</t>
  </si>
  <si>
    <t>80L - 14x65 - Performa 273/742F</t>
  </si>
  <si>
    <t>Nbre bouteilles</t>
  </si>
  <si>
    <t>ou :</t>
  </si>
  <si>
    <t>Etage 0</t>
  </si>
  <si>
    <t>Carter</t>
  </si>
  <si>
    <t>Etage 3</t>
  </si>
  <si>
    <t>(Coreless)</t>
  </si>
  <si>
    <t>Nbre de carter</t>
  </si>
  <si>
    <t>(CA)</t>
  </si>
  <si>
    <t>Filtre</t>
  </si>
  <si>
    <t/>
  </si>
  <si>
    <t>Etage 1</t>
  </si>
  <si>
    <t>Big_Blue</t>
  </si>
  <si>
    <t>Etage 4</t>
  </si>
  <si>
    <t>Standard</t>
  </si>
  <si>
    <t>(Nominal)</t>
  </si>
  <si>
    <t>(Absolu)</t>
  </si>
  <si>
    <t>BB DGD 50-5µm</t>
  </si>
  <si>
    <t>1 µm absolu</t>
  </si>
  <si>
    <t>Etage 2</t>
  </si>
  <si>
    <t>Testomat 2</t>
  </si>
  <si>
    <t>n/a</t>
  </si>
  <si>
    <t>(Chlore)</t>
  </si>
  <si>
    <t>5µm nominal</t>
  </si>
  <si>
    <t>Filtration boucle</t>
  </si>
  <si>
    <t>Colonne Adou.</t>
  </si>
  <si>
    <t>25L - 8x44 - Performa 278 CV/764</t>
  </si>
  <si>
    <t>Module production acide</t>
  </si>
  <si>
    <t>NON</t>
  </si>
  <si>
    <t>Capteur dureté Limitron</t>
  </si>
  <si>
    <t>Distribution concentré</t>
  </si>
  <si>
    <t>Nbre de cuves stockage</t>
  </si>
  <si>
    <t>Testomat 1</t>
  </si>
  <si>
    <t>STD (100.097) =&gt; TH</t>
  </si>
  <si>
    <t>CeCon 3000</t>
  </si>
  <si>
    <t>(Dureté)</t>
  </si>
  <si>
    <t>N° de série :</t>
  </si>
  <si>
    <r>
      <t xml:space="preserve">Prises d'échantillons </t>
    </r>
    <r>
      <rPr>
        <b/>
        <sz val="9"/>
        <color theme="0"/>
        <rFont val="Arial"/>
        <family val="2"/>
      </rPr>
      <t>Servinox</t>
    </r>
  </si>
  <si>
    <t>Matériels supplémentaires à fournir :</t>
  </si>
  <si>
    <t>Qté :</t>
  </si>
  <si>
    <t>Nbre PEMS Eau froide</t>
  </si>
  <si>
    <t>Colonne lum. SL7 - 3 coul. R/J/V</t>
  </si>
  <si>
    <t>PEMS Eau chaude (hors osmoseur)</t>
  </si>
  <si>
    <t>LED bleue pour colonne lum. SL7</t>
  </si>
  <si>
    <t>Coude pour colonne lum. SL7</t>
  </si>
  <si>
    <t>Autres consos pour mise en service :</t>
  </si>
  <si>
    <t>Système Ares SMS</t>
  </si>
  <si>
    <t>Test dureté ORMCD1003</t>
  </si>
  <si>
    <t>Relais d'interface Finder 24V</t>
  </si>
  <si>
    <t>Test Chlore Visocolor HE</t>
  </si>
  <si>
    <t>Walther inox F générateurs 9mm</t>
  </si>
  <si>
    <r>
      <t>Dialox Active 5L</t>
    </r>
    <r>
      <rPr>
        <b/>
        <sz val="10"/>
        <color theme="1"/>
        <rFont val="Arial"/>
        <family val="2"/>
      </rPr>
      <t xml:space="preserve"> *</t>
    </r>
  </si>
  <si>
    <t>Pour info :</t>
  </si>
  <si>
    <t>Type embouts inox sur boucle (M) :</t>
  </si>
  <si>
    <t>Test Quantofix peroxyde</t>
  </si>
  <si>
    <t>* Transport sur palette obligatoire (prévoir LV chez client)</t>
  </si>
  <si>
    <t>Raccords inox générateurs (F) inclus :</t>
  </si>
  <si>
    <t>Accessoires CeCon300 :</t>
  </si>
  <si>
    <t>ZG05SI021 (Tuyau silicone 14.4x3.2 blanc)</t>
  </si>
  <si>
    <t>CeCon3000 :</t>
  </si>
  <si>
    <t>ZG17PP954 (Connecteur en T, PP 7,9 mm)</t>
  </si>
  <si>
    <t>ZG05V9416 (Clip 16.5, inox)</t>
  </si>
  <si>
    <t>Packaging</t>
  </si>
  <si>
    <t>DN50FX8 (DN50 F pour tuyau 8 mm)</t>
  </si>
  <si>
    <t>Consommables pour mise en service</t>
  </si>
  <si>
    <t>LV avant le :</t>
  </si>
  <si>
    <t>chez :</t>
  </si>
  <si>
    <t>Postes</t>
  </si>
  <si>
    <t>Réf.</t>
  </si>
  <si>
    <t>Désignation</t>
  </si>
  <si>
    <t>Qté</t>
  </si>
  <si>
    <t>PR</t>
  </si>
  <si>
    <t>Coût</t>
  </si>
  <si>
    <t>boucle</t>
  </si>
  <si>
    <t>B</t>
  </si>
  <si>
    <t>Analyses</t>
  </si>
  <si>
    <t>152.025</t>
  </si>
  <si>
    <t>156.237</t>
  </si>
  <si>
    <t>151.105</t>
  </si>
  <si>
    <t>ORMCD1003</t>
  </si>
  <si>
    <t>00535114</t>
  </si>
  <si>
    <t>00630079</t>
  </si>
  <si>
    <t>DIALOXACTIVE5L</t>
  </si>
  <si>
    <t>SL7-100-L-RYG-24LED</t>
  </si>
  <si>
    <t>SL7-L24-B</t>
  </si>
  <si>
    <t>SL7-CB-FW</t>
  </si>
  <si>
    <t>Module de base pour montage vertical 1 côté colonne lumineuse 24 V série SL7</t>
  </si>
  <si>
    <t>600524</t>
  </si>
  <si>
    <t>4C.02.9.024.0050SPA</t>
  </si>
  <si>
    <t>Relais d'interface Finder 24V c.c., 2 RT, montage Rail DIN, série , 4C Series</t>
  </si>
  <si>
    <t>SP006-0-SL009-01-4</t>
  </si>
  <si>
    <t>CeCon3000</t>
  </si>
  <si>
    <t>ZG05SI021</t>
  </si>
  <si>
    <t>ZG17PP954</t>
  </si>
  <si>
    <t>ZG05V9416</t>
  </si>
  <si>
    <t>DN50FX8</t>
  </si>
  <si>
    <t>Total :</t>
  </si>
  <si>
    <t>A fournir en plus pour la mise en service :</t>
  </si>
  <si>
    <t>Kit maintenance</t>
  </si>
  <si>
    <t>annuelle</t>
  </si>
  <si>
    <t>Traitement d'eau</t>
  </si>
  <si>
    <t>Mise en service :</t>
  </si>
  <si>
    <t>Référence</t>
  </si>
  <si>
    <t>PR unitaire</t>
  </si>
  <si>
    <t>Carters pré-filtration</t>
  </si>
  <si>
    <t>Analyseurs</t>
  </si>
  <si>
    <t>Membranes Prises d'échantillons</t>
  </si>
  <si>
    <t>Banc filtration stérilisante 0,2µm</t>
  </si>
  <si>
    <t>N/A</t>
  </si>
  <si>
    <t>semestrielle</t>
  </si>
  <si>
    <t>HP5500D 300 P/H (1)</t>
  </si>
  <si>
    <t>DR</t>
  </si>
  <si>
    <t>9kW</t>
  </si>
  <si>
    <t>VENTE</t>
  </si>
  <si>
    <t>2 ans pièces et MO (5 ans membranes)</t>
  </si>
  <si>
    <t>1 an</t>
  </si>
  <si>
    <t>Non inclus / Garantie soumie à achat consos</t>
  </si>
  <si>
    <t>Aseptic</t>
  </si>
  <si>
    <t>Walther SP006 d.9mm (SL009)</t>
  </si>
  <si>
    <t>1formule/1étage</t>
  </si>
  <si>
    <t>50m</t>
  </si>
  <si>
    <t>Site client</t>
  </si>
  <si>
    <t>Type CPC</t>
  </si>
  <si>
    <t>Cuve vrac</t>
  </si>
  <si>
    <t>HP5500D 500 P/H (2+2)</t>
  </si>
  <si>
    <t>STD</t>
  </si>
  <si>
    <t>18kW</t>
  </si>
  <si>
    <t>LOCATION</t>
  </si>
  <si>
    <t>2 ans pièces et MO (3 ans membranes)</t>
  </si>
  <si>
    <t>2 ans</t>
  </si>
  <si>
    <t>Non inclus (payants, sur commande)</t>
  </si>
  <si>
    <t>E.C.O.</t>
  </si>
  <si>
    <t>Walther SP006 d.6mm (SL006)</t>
  </si>
  <si>
    <t>Centrale HERCO</t>
  </si>
  <si>
    <t>2formules/1étage</t>
  </si>
  <si>
    <t>Simplex CRIE 3-5</t>
  </si>
  <si>
    <t>100m</t>
  </si>
  <si>
    <t>TLS (CPU)</t>
  </si>
  <si>
    <t>Inox</t>
  </si>
  <si>
    <t>BIB</t>
  </si>
  <si>
    <t>HP5500D 750 P/H (3+3)</t>
  </si>
  <si>
    <t>WBO</t>
  </si>
  <si>
    <t>STD SelfClean (100.372) =&gt; TH</t>
  </si>
  <si>
    <t>PACK</t>
  </si>
  <si>
    <t>1 an pièces et MO (5 ans membranes)</t>
  </si>
  <si>
    <t>3 ans</t>
  </si>
  <si>
    <t>Inclus sous contrat (cadencier)</t>
  </si>
  <si>
    <t>50L - 10x54 - Performa 278 CV/764</t>
  </si>
  <si>
    <t>Hemotech</t>
  </si>
  <si>
    <t>Staubli RBE06</t>
  </si>
  <si>
    <t>3formules/1étage</t>
  </si>
  <si>
    <t>Simplex CRIE 5-5</t>
  </si>
  <si>
    <t>150m</t>
  </si>
  <si>
    <t>TLS (TWA)</t>
  </si>
  <si>
    <t>HP5500D 1000 P/H (4+4)</t>
  </si>
  <si>
    <t>THCL (100.282) =&gt; TH+CLT</t>
  </si>
  <si>
    <t>1 an pièces et MO (3 ans membranes)</t>
  </si>
  <si>
    <t>Non inclus (payant)</t>
  </si>
  <si>
    <t xml:space="preserve">75L - 13x54 - Performa 278 CV/764 </t>
  </si>
  <si>
    <t>Staubli RBE08</t>
  </si>
  <si>
    <t>1formule/2étages</t>
  </si>
  <si>
    <t>Duplex CRIE 3-5</t>
  </si>
  <si>
    <t>200m</t>
  </si>
  <si>
    <t>DPD DR</t>
  </si>
  <si>
    <t>HP5500D 1250 P/H (5+5)</t>
  </si>
  <si>
    <t>AK</t>
  </si>
  <si>
    <t>CLT SelfClean (100.247) =&gt; CLT</t>
  </si>
  <si>
    <t>1 an pièces (5 ans membranes) hors MO</t>
  </si>
  <si>
    <t xml:space="preserve">100L - 14x65 - Performa 278 CV/764 </t>
  </si>
  <si>
    <t>2formules/2étages</t>
  </si>
  <si>
    <t>Duplex CRIE 5-5</t>
  </si>
  <si>
    <t>250m</t>
  </si>
  <si>
    <t>DPD OBA</t>
  </si>
  <si>
    <t>HP5500D 1500 P/H (6+6)</t>
  </si>
  <si>
    <t>DCR</t>
  </si>
  <si>
    <t>1 an pièces (3 ans membranes) hors MO</t>
  </si>
  <si>
    <t xml:space="preserve">150L - 16x65 - Performa 278 CV/764 </t>
  </si>
  <si>
    <t>1formules/3étages</t>
  </si>
  <si>
    <t>Duplex CRIE 10-5</t>
  </si>
  <si>
    <t>300m</t>
  </si>
  <si>
    <t>DPD STD</t>
  </si>
  <si>
    <t>HP5500D 2000 P/H (8+8)</t>
  </si>
  <si>
    <t>1 an pièces hors MO</t>
  </si>
  <si>
    <t xml:space="preserve">200L - 18x65 - Performa 278 CV/764 </t>
  </si>
  <si>
    <t>DPD WBO</t>
  </si>
  <si>
    <t>HP5500D 2500 P/H (2+2 / 8")</t>
  </si>
  <si>
    <t>FLA</t>
  </si>
  <si>
    <t>DPD FLA</t>
  </si>
  <si>
    <t>HP5500D 3500 P/H (3+3 / 8")</t>
  </si>
  <si>
    <t>GCH</t>
  </si>
  <si>
    <t>50L - 13x54 - Performa 273/742F</t>
  </si>
  <si>
    <t>DPD GCH</t>
  </si>
  <si>
    <t>HP5500D 4500 P/H (4+4 / 8")</t>
  </si>
  <si>
    <t>JBO</t>
  </si>
  <si>
    <t>DPD JBO</t>
  </si>
  <si>
    <t>HP5500D 650 P (2+2)</t>
  </si>
  <si>
    <t>JTO</t>
  </si>
  <si>
    <t>90L - 16x65 - Performa 273/742F</t>
  </si>
  <si>
    <t>DPD JTO</t>
  </si>
  <si>
    <t>HP5500D 1000 P (3+3)</t>
  </si>
  <si>
    <t>LL</t>
  </si>
  <si>
    <t>120L -  18x65 - Performa 273/742F</t>
  </si>
  <si>
    <t>DPD LL</t>
  </si>
  <si>
    <t>HP5500D 1350 P (4+4)</t>
  </si>
  <si>
    <t>MMA</t>
  </si>
  <si>
    <t>DPD MMA</t>
  </si>
  <si>
    <t>HP5500D 1700 P (5+5)</t>
  </si>
  <si>
    <t>NBL</t>
  </si>
  <si>
    <t>DPD NBL</t>
  </si>
  <si>
    <t>HP5500D 300 L/H (1)</t>
  </si>
  <si>
    <t>KTA</t>
  </si>
  <si>
    <t>42L - 10x54 - Performa 273/742F</t>
  </si>
  <si>
    <t>DPD KTA</t>
  </si>
  <si>
    <t>HP5500D 600 L/H (2)</t>
  </si>
  <si>
    <t>OBA</t>
  </si>
  <si>
    <t>67L - 13x54 - Performa 273/742F</t>
  </si>
  <si>
    <t>DPD TC</t>
  </si>
  <si>
    <t>HP5500D 900 L/H (3)</t>
  </si>
  <si>
    <t>85L - 14x65 - Performa 273/742F</t>
  </si>
  <si>
    <t>DPD TMA</t>
  </si>
  <si>
    <t>HP5500D 1200 L/H (4)</t>
  </si>
  <si>
    <t>TC</t>
  </si>
  <si>
    <t>112L - 16x65 - Performa 273/742F</t>
  </si>
  <si>
    <t>HP5500D 1500 L/H (5)</t>
  </si>
  <si>
    <t>TMA</t>
  </si>
  <si>
    <t>142L - 18x65 - Performa 273/742F</t>
  </si>
  <si>
    <t>PA</t>
  </si>
  <si>
    <t>FA</t>
  </si>
  <si>
    <t>Validité</t>
  </si>
  <si>
    <t>FILBOU1002N-3S</t>
  </si>
  <si>
    <t>FILBOU1002B-7S</t>
  </si>
  <si>
    <t>FILBOU2002B-3S</t>
  </si>
  <si>
    <t>FILBOU2002B-7S</t>
  </si>
  <si>
    <t>FILABS201</t>
  </si>
  <si>
    <t>5 µm absolu</t>
  </si>
  <si>
    <t>FILABS205</t>
  </si>
  <si>
    <t>event</t>
  </si>
  <si>
    <t>FILEVC05001</t>
  </si>
  <si>
    <t>1µm nominal</t>
  </si>
  <si>
    <t>FILNOM201</t>
  </si>
  <si>
    <t>3µm nominal</t>
  </si>
  <si>
    <t>FILNOM203</t>
  </si>
  <si>
    <t>FILNOM205</t>
  </si>
  <si>
    <t>10µm nominal</t>
  </si>
  <si>
    <t>FILNOM2010</t>
  </si>
  <si>
    <t>20µm nominal</t>
  </si>
  <si>
    <t>FILNOM2020</t>
  </si>
  <si>
    <t>Coreless 5µm</t>
  </si>
  <si>
    <t>FILCOR405</t>
  </si>
  <si>
    <t>Coreless 10µm</t>
  </si>
  <si>
    <t>FILCOR4010</t>
  </si>
  <si>
    <t>Coreless 20µm</t>
  </si>
  <si>
    <t>FILCOR4020</t>
  </si>
  <si>
    <t>Coreless 40µm</t>
  </si>
  <si>
    <t>FILCOR4040</t>
  </si>
  <si>
    <t>Anticolloïdes 0,45µm</t>
  </si>
  <si>
    <t>FILACO2005</t>
  </si>
  <si>
    <t>Anticolloïdes 1µm</t>
  </si>
  <si>
    <t>FILACO201</t>
  </si>
  <si>
    <t>Anticolloïdes 5µm</t>
  </si>
  <si>
    <t>FILACO205</t>
  </si>
  <si>
    <t>1µm SOE 7S absolu</t>
  </si>
  <si>
    <t>FILABS201-7S</t>
  </si>
  <si>
    <t>3µm SOE 7S nominal</t>
  </si>
  <si>
    <t>FILNOM203-7S</t>
  </si>
  <si>
    <t>5µm SOE 7S nominal</t>
  </si>
  <si>
    <t>FILNOM205-7S</t>
  </si>
  <si>
    <t>10µm SOE 7S nominal</t>
  </si>
  <si>
    <t>FILNOM2010-7S</t>
  </si>
  <si>
    <t>20µm SOE 7S nominal</t>
  </si>
  <si>
    <t>FILNOM2020-7S</t>
  </si>
  <si>
    <t>CA ChlorPlus 1µm</t>
  </si>
  <si>
    <t>FILCA201</t>
  </si>
  <si>
    <t>CA RF-Plus 5µm</t>
  </si>
  <si>
    <t>FILCA205+</t>
  </si>
  <si>
    <t>BB DGD 25-1µm</t>
  </si>
  <si>
    <t>FILDGD20BB251</t>
  </si>
  <si>
    <t>FILDGD20BB505</t>
  </si>
  <si>
    <t>BB DGD 75-25µm</t>
  </si>
  <si>
    <t>FILDGD20BB7525</t>
  </si>
  <si>
    <t>BB CA ChlorPlus 1µm</t>
  </si>
  <si>
    <t>FILCA20BB1</t>
  </si>
  <si>
    <t>BB CA RF-Plus 5µm</t>
  </si>
  <si>
    <t>FILCA20BB5+</t>
  </si>
  <si>
    <t>73190</t>
  </si>
  <si>
    <t>73197</t>
  </si>
  <si>
    <t>ACS39EX</t>
  </si>
  <si>
    <t>ACS44EX</t>
  </si>
  <si>
    <t>CLP-MICRO-JNT13.5</t>
  </si>
  <si>
    <t>JCSIL127217</t>
  </si>
  <si>
    <t>GK1242QL01</t>
  </si>
  <si>
    <t>GK1344PX01</t>
  </si>
  <si>
    <t>GK1344QL01</t>
  </si>
  <si>
    <t>JCSIL254504</t>
  </si>
  <si>
    <t>MEPDMVMI1</t>
  </si>
  <si>
    <t>00535114R</t>
  </si>
  <si>
    <t>040.901</t>
  </si>
  <si>
    <t>040.902</t>
  </si>
  <si>
    <t>040.903</t>
  </si>
  <si>
    <t>040.904</t>
  </si>
  <si>
    <t>156.235</t>
  </si>
  <si>
    <t>00370031</t>
  </si>
  <si>
    <t>JM05301</t>
  </si>
  <si>
    <t>JM05601</t>
  </si>
  <si>
    <t>KMFPML13503</t>
  </si>
  <si>
    <t>Coreless</t>
  </si>
  <si>
    <t>EMS03</t>
  </si>
  <si>
    <t>EMS05</t>
  </si>
  <si>
    <t>STD_Ametek</t>
  </si>
  <si>
    <t>PCY27</t>
  </si>
  <si>
    <t>1µm SOE 7S nominal</t>
  </si>
  <si>
    <t>EMS_03</t>
  </si>
  <si>
    <t>EMS_05</t>
  </si>
  <si>
    <t>PCY_27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</si>
</sst>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theme="0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9"/>
      <color theme="1" tint="0.499984740745262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sz val="11"/>
      <color theme="1"/>
      <name val="Proxima Nova Lt"/>
      <family val="3"/>
    </font>
    <font>
      <sz val="12"/>
      <color theme="1"/>
      <name val="Proxima Nova Lt"/>
      <family val="3"/>
    </font>
    <font>
      <b/>
      <sz val="22"/>
      <color theme="1"/>
      <name val="Proxima Nova Lt"/>
      <family val="3"/>
    </font>
    <font>
      <b/>
      <i/>
      <sz val="20"/>
      <color theme="1"/>
      <name val="Proxima Nova Lt"/>
      <family val="3"/>
    </font>
    <font>
      <b/>
      <sz val="16"/>
      <color theme="1"/>
      <name val="Proxima Nova Lt"/>
      <family val="3"/>
    </font>
    <font>
      <b/>
      <sz val="14"/>
      <color rgb="FF0070C0"/>
      <name val="Proxima Nova Lt"/>
      <family val="3"/>
    </font>
    <font>
      <sz val="10"/>
      <name val="Proxima Nova Lt"/>
      <family val="3"/>
    </font>
    <font>
      <b/>
      <sz val="10"/>
      <color theme="9" tint="-0.249977111117893"/>
      <name val="Arial"/>
      <family val="2"/>
    </font>
    <font>
      <b/>
      <sz val="11"/>
      <color theme="1"/>
      <name val="Proxima Nova Lt"/>
      <family val="3"/>
    </font>
    <font>
      <i/>
      <sz val="10"/>
      <color rgb="FFFF0000"/>
      <name val="Arial"/>
      <family val="2"/>
    </font>
    <font>
      <b/>
      <i/>
      <sz val="12"/>
      <color theme="1"/>
      <name val="Arial"/>
      <family val="2"/>
    </font>
    <font>
      <i/>
      <sz val="11"/>
      <color theme="1"/>
      <name val="Proxima Nova Lt"/>
      <family val="3"/>
    </font>
    <font>
      <sz val="10"/>
      <color theme="1"/>
      <name val="Proxima Nova Lt"/>
      <family val="3"/>
    </font>
    <font>
      <sz val="11"/>
      <color theme="0" tint="-0.499984740745262"/>
      <name val="Calibri"/>
      <family val="2"/>
      <scheme val="minor"/>
    </font>
    <font>
      <b/>
      <sz val="9"/>
      <color rgb="FFFF0000"/>
      <name val="Arial"/>
      <family val="2"/>
    </font>
    <font>
      <sz val="11"/>
      <color theme="0" tint="-0.499984740745262"/>
      <name val="Proxima Nova Lt"/>
      <family val="3"/>
    </font>
    <font>
      <b/>
      <sz val="11"/>
      <color theme="0" tint="-0.499984740745262"/>
      <name val="Proxima Nova Lt"/>
      <family val="3"/>
    </font>
    <font>
      <sz val="9"/>
      <color theme="0" tint="-0.249977111117893"/>
      <name val="Arial"/>
      <family val="2"/>
    </font>
    <font>
      <strike/>
      <sz val="11"/>
      <color theme="1"/>
      <name val="Proxima Nova Lt"/>
      <family val="3"/>
    </font>
    <font>
      <sz val="9"/>
      <name val="Arial"/>
      <family val="2"/>
    </font>
    <font>
      <sz val="7"/>
      <color theme="0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D7EB4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theme="1" tint="0.499984740745262"/>
      </bottom>
      <diagonal/>
    </border>
  </borders>
  <cellStyleXfs count="10">
    <xf numFmtId="0" fontId="0" fillId="0" borderId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</cellStyleXfs>
  <cellXfs count="26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/>
    <xf numFmtId="49" fontId="3" fillId="0" borderId="0" xfId="0" applyNumberFormat="1" applyFont="1"/>
    <xf numFmtId="0" fontId="6" fillId="0" borderId="0" xfId="0" quotePrefix="1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8" fillId="0" borderId="5" xfId="0" applyFont="1" applyBorder="1" applyAlignment="1">
      <alignment vertical="center"/>
    </xf>
    <xf numFmtId="44" fontId="18" fillId="0" borderId="0" xfId="8" applyFont="1" applyAlignment="1">
      <alignment vertical="center"/>
    </xf>
    <xf numFmtId="44" fontId="18" fillId="0" borderId="0" xfId="0" applyNumberFormat="1" applyFont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0" fontId="8" fillId="0" borderId="1" xfId="0" applyFont="1" applyBorder="1" applyAlignment="1">
      <alignment horizontal="center"/>
    </xf>
    <xf numFmtId="44" fontId="9" fillId="0" borderId="1" xfId="8" applyFont="1" applyBorder="1"/>
    <xf numFmtId="0" fontId="9" fillId="0" borderId="0" xfId="0" applyFont="1" applyAlignment="1">
      <alignment horizontal="center" vertical="center" textRotation="90"/>
    </xf>
    <xf numFmtId="0" fontId="9" fillId="0" borderId="1" xfId="0" quotePrefix="1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33" fillId="0" borderId="6" xfId="0" applyFont="1" applyBorder="1" applyAlignment="1">
      <alignment horizontal="right" vertical="center"/>
    </xf>
    <xf numFmtId="44" fontId="33" fillId="0" borderId="6" xfId="8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6" xfId="0" applyFont="1" applyBorder="1" applyAlignment="1">
      <alignment horizontal="right" vertical="center"/>
    </xf>
    <xf numFmtId="44" fontId="34" fillId="0" borderId="6" xfId="8" applyFont="1" applyBorder="1" applyAlignment="1">
      <alignment horizontal="right" vertical="center"/>
    </xf>
    <xf numFmtId="44" fontId="8" fillId="0" borderId="1" xfId="8" applyFont="1" applyBorder="1" applyAlignment="1">
      <alignment horizontal="right" vertical="center"/>
    </xf>
    <xf numFmtId="44" fontId="9" fillId="0" borderId="1" xfId="0" applyNumberFormat="1" applyFont="1" applyBorder="1" applyProtection="1">
      <protection locked="0"/>
    </xf>
    <xf numFmtId="44" fontId="9" fillId="0" borderId="28" xfId="0" applyNumberFormat="1" applyFont="1" applyBorder="1" applyProtection="1">
      <protection locked="0"/>
    </xf>
    <xf numFmtId="44" fontId="33" fillId="0" borderId="6" xfId="0" applyNumberFormat="1" applyFont="1" applyBorder="1" applyAlignment="1" applyProtection="1">
      <alignment vertical="center"/>
      <protection locked="0"/>
    </xf>
    <xf numFmtId="0" fontId="33" fillId="0" borderId="6" xfId="0" applyFont="1" applyBorder="1" applyAlignment="1" applyProtection="1">
      <alignment horizontal="right" vertical="center"/>
      <protection locked="0"/>
    </xf>
    <xf numFmtId="0" fontId="33" fillId="0" borderId="6" xfId="0" applyFont="1" applyBorder="1" applyAlignment="1" applyProtection="1">
      <alignment vertical="center"/>
      <protection locked="0"/>
    </xf>
    <xf numFmtId="0" fontId="9" fillId="0" borderId="10" xfId="0" applyFont="1" applyBorder="1" applyProtection="1">
      <protection locked="0"/>
    </xf>
    <xf numFmtId="0" fontId="9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17" xfId="0" applyFont="1" applyBorder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6" fillId="0" borderId="10" xfId="0" applyFont="1" applyBorder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17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6" fillId="0" borderId="0" xfId="0" applyFont="1" applyAlignment="1">
      <alignment horizontal="right" vertical="center"/>
    </xf>
    <xf numFmtId="0" fontId="36" fillId="0" borderId="1" xfId="0" applyFont="1" applyBorder="1" applyAlignment="1">
      <alignment vertical="center"/>
    </xf>
    <xf numFmtId="0" fontId="36" fillId="0" borderId="1" xfId="0" applyFont="1" applyBorder="1" applyAlignment="1">
      <alignment horizontal="left" vertical="center"/>
    </xf>
    <xf numFmtId="0" fontId="1" fillId="6" borderId="6" xfId="0" applyFont="1" applyFill="1" applyBorder="1" applyAlignment="1">
      <alignment vertical="center"/>
    </xf>
    <xf numFmtId="0" fontId="2" fillId="0" borderId="6" xfId="0" applyFont="1" applyBorder="1"/>
    <xf numFmtId="0" fontId="9" fillId="0" borderId="0" xfId="0" applyFont="1" applyAlignment="1">
      <alignment horizontal="right" vertical="center"/>
    </xf>
    <xf numFmtId="0" fontId="35" fillId="0" borderId="0" xfId="0" applyFont="1"/>
    <xf numFmtId="0" fontId="9" fillId="0" borderId="0" xfId="0" applyFont="1" applyAlignment="1">
      <alignment horizontal="right"/>
    </xf>
    <xf numFmtId="0" fontId="15" fillId="0" borderId="0" xfId="0" applyFont="1" applyAlignment="1">
      <alignment horizontal="right" wrapText="1"/>
    </xf>
    <xf numFmtId="0" fontId="35" fillId="0" borderId="0" xfId="0" applyFont="1" applyAlignment="1">
      <alignment horizontal="right" wrapText="1"/>
    </xf>
    <xf numFmtId="0" fontId="35" fillId="0" borderId="0" xfId="0" quotePrefix="1" applyFont="1"/>
    <xf numFmtId="0" fontId="8" fillId="0" borderId="0" xfId="0" quotePrefix="1" applyFont="1" applyAlignment="1">
      <alignment vertical="center" wrapText="1"/>
    </xf>
    <xf numFmtId="0" fontId="15" fillId="0" borderId="0" xfId="0" applyFont="1" applyAlignment="1">
      <alignment wrapText="1"/>
    </xf>
    <xf numFmtId="0" fontId="9" fillId="0" borderId="7" xfId="0" applyFont="1" applyBorder="1" applyAlignment="1">
      <alignment horizontal="right" vertical="center" wrapText="1"/>
    </xf>
    <xf numFmtId="0" fontId="31" fillId="0" borderId="0" xfId="0" applyFont="1"/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6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6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7" fillId="0" borderId="19" xfId="0" applyFont="1" applyBorder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2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12" fillId="0" borderId="7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13" fillId="5" borderId="1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5" borderId="13" xfId="0" applyFont="1" applyFill="1" applyBorder="1" applyAlignment="1">
      <alignment horizontal="left" vertical="center"/>
    </xf>
    <xf numFmtId="0" fontId="13" fillId="5" borderId="37" xfId="0" applyFont="1" applyFill="1" applyBorder="1" applyAlignment="1">
      <alignment horizontal="left" vertical="center"/>
    </xf>
    <xf numFmtId="0" fontId="13" fillId="5" borderId="11" xfId="0" applyFont="1" applyFill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27" fillId="0" borderId="0" xfId="0" applyFont="1"/>
    <xf numFmtId="0" fontId="9" fillId="0" borderId="7" xfId="0" applyFont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9" fillId="6" borderId="7" xfId="0" quotePrefix="1" applyFont="1" applyFill="1" applyBorder="1" applyAlignment="1" applyProtection="1">
      <alignment horizontal="center" vertical="center" wrapText="1"/>
      <protection locked="0"/>
    </xf>
    <xf numFmtId="0" fontId="9" fillId="6" borderId="7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 wrapText="1"/>
      <protection locked="0"/>
    </xf>
    <xf numFmtId="0" fontId="9" fillId="3" borderId="6" xfId="0" quotePrefix="1" applyFont="1" applyFill="1" applyBorder="1" applyAlignment="1" applyProtection="1">
      <alignment horizontal="center" vertical="center" wrapText="1"/>
      <protection locked="0"/>
    </xf>
    <xf numFmtId="0" fontId="8" fillId="3" borderId="6" xfId="0" quotePrefix="1" applyFont="1" applyFill="1" applyBorder="1" applyAlignment="1" applyProtection="1">
      <alignment horizontal="center" vertical="center" wrapText="1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wrapText="1"/>
      <protection locked="0"/>
    </xf>
    <xf numFmtId="0" fontId="15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16" fontId="0" fillId="0" borderId="0" xfId="0" quotePrefix="1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35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0" xfId="0" quotePrefix="1" applyFont="1" applyAlignment="1">
      <alignment horizontal="left"/>
    </xf>
    <xf numFmtId="0" fontId="9" fillId="0" borderId="28" xfId="0" applyFont="1" applyBorder="1" applyAlignment="1">
      <alignment horizontal="center"/>
    </xf>
    <xf numFmtId="164" fontId="25" fillId="0" borderId="0" xfId="0" applyNumberFormat="1" applyFont="1" applyAlignment="1">
      <alignment horizontal="right"/>
    </xf>
    <xf numFmtId="44" fontId="9" fillId="7" borderId="6" xfId="8" applyFont="1" applyFill="1" applyBorder="1" applyAlignment="1" applyProtection="1">
      <alignment horizontal="left" vertical="center" wrapText="1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0" fillId="0" borderId="19" xfId="0" applyBorder="1"/>
    <xf numFmtId="0" fontId="9" fillId="0" borderId="16" xfId="0" applyFont="1" applyBorder="1" applyAlignment="1">
      <alignment horizontal="right" vertical="center"/>
    </xf>
    <xf numFmtId="0" fontId="13" fillId="5" borderId="12" xfId="0" applyFont="1" applyFill="1" applyBorder="1" applyAlignment="1">
      <alignment vertical="center"/>
    </xf>
    <xf numFmtId="14" fontId="9" fillId="7" borderId="6" xfId="8" applyNumberFormat="1" applyFont="1" applyFill="1" applyBorder="1" applyAlignment="1" applyProtection="1">
      <alignment horizontal="center" vertical="center" wrapText="1"/>
      <protection locked="0"/>
    </xf>
    <xf numFmtId="0" fontId="38" fillId="0" borderId="0" xfId="0" applyFont="1" applyAlignment="1">
      <alignment horizontal="left" vertical="top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/>
    </xf>
    <xf numFmtId="14" fontId="9" fillId="7" borderId="40" xfId="8" applyNumberFormat="1" applyFont="1" applyFill="1" applyBorder="1" applyAlignment="1" applyProtection="1">
      <alignment vertical="center" wrapText="1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44" fontId="9" fillId="0" borderId="10" xfId="8" applyFont="1" applyFill="1" applyBorder="1" applyAlignment="1" applyProtection="1">
      <alignment vertical="center" wrapText="1"/>
      <protection locked="0"/>
    </xf>
    <xf numFmtId="14" fontId="8" fillId="0" borderId="42" xfId="0" quotePrefix="1" applyNumberFormat="1" applyFont="1" applyBorder="1" applyAlignment="1" applyProtection="1">
      <alignment horizontal="right" vertical="center"/>
      <protection locked="0"/>
    </xf>
    <xf numFmtId="14" fontId="8" fillId="3" borderId="14" xfId="0" applyNumberFormat="1" applyFont="1" applyFill="1" applyBorder="1" applyAlignment="1" applyProtection="1">
      <alignment vertical="center"/>
      <protection locked="0"/>
    </xf>
    <xf numFmtId="49" fontId="7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9" fillId="8" borderId="6" xfId="8" applyNumberFormat="1" applyFont="1" applyFill="1" applyBorder="1" applyAlignment="1" applyProtection="1">
      <alignment horizontal="center" vertical="center" wrapText="1"/>
      <protection locked="0"/>
    </xf>
    <xf numFmtId="0" fontId="14" fillId="5" borderId="12" xfId="0" applyFont="1" applyFill="1" applyBorder="1" applyAlignment="1">
      <alignment horizontal="right" vertical="center"/>
    </xf>
    <xf numFmtId="0" fontId="13" fillId="5" borderId="43" xfId="0" applyFont="1" applyFill="1" applyBorder="1" applyAlignment="1">
      <alignment horizontal="right" vertical="center"/>
    </xf>
    <xf numFmtId="0" fontId="14" fillId="5" borderId="44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3" fillId="5" borderId="18" xfId="0" applyFont="1" applyFill="1" applyBorder="1" applyAlignment="1">
      <alignment horizontal="left" vertical="center"/>
    </xf>
    <xf numFmtId="0" fontId="13" fillId="5" borderId="19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right" vertical="center"/>
    </xf>
    <xf numFmtId="0" fontId="0" fillId="3" borderId="12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9" fillId="6" borderId="18" xfId="0" applyFont="1" applyFill="1" applyBorder="1" applyAlignment="1" applyProtection="1">
      <alignment horizontal="center" vertical="center"/>
      <protection locked="0"/>
    </xf>
    <xf numFmtId="0" fontId="9" fillId="6" borderId="19" xfId="0" applyFont="1" applyFill="1" applyBorder="1" applyAlignment="1" applyProtection="1">
      <alignment horizontal="center" vertical="center"/>
      <protection locked="0"/>
    </xf>
    <xf numFmtId="0" fontId="9" fillId="6" borderId="20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left" vertical="center" wrapText="1"/>
      <protection locked="0"/>
    </xf>
    <xf numFmtId="14" fontId="9" fillId="6" borderId="7" xfId="0" applyNumberFormat="1" applyFont="1" applyFill="1" applyBorder="1" applyAlignment="1" applyProtection="1">
      <alignment horizontal="center" vertical="center"/>
      <protection locked="0"/>
    </xf>
    <xf numFmtId="0" fontId="9" fillId="6" borderId="7" xfId="0" applyFont="1" applyFill="1" applyBorder="1" applyAlignment="1" applyProtection="1">
      <alignment horizontal="center" vertical="center"/>
      <protection locked="0"/>
    </xf>
    <xf numFmtId="0" fontId="13" fillId="5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right" vertical="center"/>
    </xf>
    <xf numFmtId="0" fontId="6" fillId="3" borderId="7" xfId="0" applyFont="1" applyFill="1" applyBorder="1" applyAlignment="1" applyProtection="1">
      <alignment horizontal="left" vertical="center"/>
      <protection locked="0"/>
    </xf>
    <xf numFmtId="0" fontId="9" fillId="0" borderId="10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9" fillId="6" borderId="15" xfId="0" applyFont="1" applyFill="1" applyBorder="1" applyAlignment="1" applyProtection="1">
      <alignment horizontal="center" vertical="center"/>
      <protection locked="0"/>
    </xf>
    <xf numFmtId="0" fontId="9" fillId="6" borderId="16" xfId="0" applyFont="1" applyFill="1" applyBorder="1" applyAlignment="1" applyProtection="1">
      <alignment horizontal="center" vertical="center"/>
      <protection locked="0"/>
    </xf>
    <xf numFmtId="0" fontId="9" fillId="6" borderId="11" xfId="0" applyFont="1" applyFill="1" applyBorder="1" applyAlignment="1" applyProtection="1">
      <alignment horizontal="center" vertical="center"/>
      <protection locked="0"/>
    </xf>
    <xf numFmtId="0" fontId="13" fillId="5" borderId="12" xfId="0" applyFont="1" applyFill="1" applyBorder="1" applyAlignment="1">
      <alignment horizontal="left" vertical="center"/>
    </xf>
    <xf numFmtId="0" fontId="13" fillId="5" borderId="14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0" fillId="5" borderId="0" xfId="0" applyFont="1" applyFill="1" applyAlignment="1" applyProtection="1">
      <alignment horizontal="center" vertical="center"/>
      <protection locked="0"/>
    </xf>
    <xf numFmtId="0" fontId="9" fillId="6" borderId="12" xfId="0" applyFont="1" applyFill="1" applyBorder="1" applyAlignment="1" applyProtection="1">
      <alignment horizontal="left" vertical="center"/>
      <protection locked="0"/>
    </xf>
    <xf numFmtId="0" fontId="9" fillId="6" borderId="13" xfId="0" applyFont="1" applyFill="1" applyBorder="1" applyAlignment="1" applyProtection="1">
      <alignment horizontal="left" vertical="center"/>
      <protection locked="0"/>
    </xf>
    <xf numFmtId="0" fontId="9" fillId="6" borderId="14" xfId="0" applyFont="1" applyFill="1" applyBorder="1" applyAlignment="1" applyProtection="1">
      <alignment horizontal="left" vertical="center"/>
      <protection locked="0"/>
    </xf>
    <xf numFmtId="0" fontId="9" fillId="6" borderId="15" xfId="0" applyFont="1" applyFill="1" applyBorder="1" applyAlignment="1" applyProtection="1">
      <alignment horizontal="left" vertical="center"/>
      <protection locked="0"/>
    </xf>
    <xf numFmtId="0" fontId="9" fillId="6" borderId="16" xfId="0" applyFont="1" applyFill="1" applyBorder="1" applyAlignment="1" applyProtection="1">
      <alignment horizontal="left" vertical="center"/>
      <protection locked="0"/>
    </xf>
    <xf numFmtId="0" fontId="9" fillId="6" borderId="11" xfId="0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 applyProtection="1">
      <alignment horizontal="center" vertical="center"/>
      <protection locked="0"/>
    </xf>
    <xf numFmtId="0" fontId="9" fillId="6" borderId="10" xfId="0" applyFont="1" applyFill="1" applyBorder="1" applyAlignment="1" applyProtection="1">
      <alignment horizontal="left" vertical="center"/>
      <protection locked="0"/>
    </xf>
    <xf numFmtId="0" fontId="9" fillId="6" borderId="0" xfId="0" applyFont="1" applyFill="1" applyAlignment="1" applyProtection="1">
      <alignment horizontal="left" vertical="center"/>
      <protection locked="0"/>
    </xf>
    <xf numFmtId="0" fontId="9" fillId="6" borderId="17" xfId="0" applyFont="1" applyFill="1" applyBorder="1" applyAlignment="1" applyProtection="1">
      <alignment horizontal="left" vertical="center"/>
      <protection locked="0"/>
    </xf>
    <xf numFmtId="0" fontId="9" fillId="6" borderId="18" xfId="0" applyFont="1" applyFill="1" applyBorder="1" applyAlignment="1" applyProtection="1">
      <alignment horizontal="left" vertical="center"/>
      <protection locked="0"/>
    </xf>
    <xf numFmtId="0" fontId="9" fillId="6" borderId="19" xfId="0" applyFont="1" applyFill="1" applyBorder="1" applyAlignment="1" applyProtection="1">
      <alignment horizontal="left" vertical="center"/>
      <protection locked="0"/>
    </xf>
    <xf numFmtId="0" fontId="9" fillId="6" borderId="20" xfId="0" applyFont="1" applyFill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9" fillId="3" borderId="7" xfId="0" applyFont="1" applyFill="1" applyBorder="1" applyAlignment="1" applyProtection="1">
      <alignment horizontal="center"/>
      <protection locked="0"/>
    </xf>
    <xf numFmtId="0" fontId="9" fillId="0" borderId="16" xfId="0" applyFont="1" applyBorder="1" applyAlignment="1">
      <alignment horizontal="right" wrapText="1"/>
    </xf>
    <xf numFmtId="0" fontId="9" fillId="0" borderId="41" xfId="0" applyFont="1" applyBorder="1" applyAlignment="1">
      <alignment horizontal="right" wrapText="1"/>
    </xf>
    <xf numFmtId="0" fontId="9" fillId="0" borderId="12" xfId="0" applyFont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32" fillId="0" borderId="24" xfId="0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8" fillId="3" borderId="7" xfId="0" quotePrefix="1" applyFont="1" applyFill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>
      <alignment horizontal="left" vertical="center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14" fontId="8" fillId="0" borderId="7" xfId="0" applyNumberFormat="1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right" vertical="center"/>
    </xf>
    <xf numFmtId="0" fontId="8" fillId="0" borderId="21" xfId="0" applyFont="1" applyBorder="1" applyAlignment="1">
      <alignment horizontal="right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right" wrapText="1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8" fillId="4" borderId="12" xfId="0" applyFont="1" applyFill="1" applyBorder="1" applyAlignment="1">
      <alignment horizontal="left"/>
    </xf>
    <xf numFmtId="0" fontId="8" fillId="4" borderId="13" xfId="0" applyFont="1" applyFill="1" applyBorder="1" applyAlignment="1">
      <alignment horizontal="left"/>
    </xf>
    <xf numFmtId="0" fontId="8" fillId="4" borderId="14" xfId="0" applyFont="1" applyFill="1" applyBorder="1" applyAlignment="1">
      <alignment horizontal="left"/>
    </xf>
    <xf numFmtId="0" fontId="8" fillId="0" borderId="28" xfId="0" applyFont="1" applyBorder="1" applyAlignment="1">
      <alignment horizontal="center" vertical="center" textRotation="90"/>
    </xf>
    <xf numFmtId="0" fontId="8" fillId="0" borderId="38" xfId="0" applyFont="1" applyBorder="1" applyAlignment="1">
      <alignment horizontal="center" vertical="center" textRotation="90"/>
    </xf>
    <xf numFmtId="0" fontId="8" fillId="0" borderId="39" xfId="0" applyFont="1" applyBorder="1" applyAlignment="1">
      <alignment horizontal="center" vertical="center" textRotation="90"/>
    </xf>
    <xf numFmtId="0" fontId="23" fillId="0" borderId="4" xfId="0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4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14" fontId="24" fillId="0" borderId="0" xfId="0" applyNumberFormat="1" applyFont="1" applyAlignment="1">
      <alignment horizontal="right" vertical="center"/>
    </xf>
    <xf numFmtId="0" fontId="29" fillId="2" borderId="4" xfId="0" applyFont="1" applyFill="1" applyBorder="1" applyAlignment="1">
      <alignment horizontal="left" vertical="center"/>
    </xf>
    <xf numFmtId="0" fontId="29" fillId="2" borderId="2" xfId="0" applyFont="1" applyFill="1" applyBorder="1" applyAlignment="1">
      <alignment horizontal="left" vertical="center"/>
    </xf>
  </cellXfs>
  <cellStyles count="10">
    <cellStyle name="Euro" xfId="2" xr:uid="{00000000-0005-0000-0000-000000000000}"/>
    <cellStyle name="Euro 2" xfId="6" xr:uid="{00000000-0005-0000-0000-000001000000}"/>
    <cellStyle name="Monétaire" xfId="8" builtinId="4"/>
    <cellStyle name="Monétaire 2" xfId="3" xr:uid="{00000000-0005-0000-0000-000004000000}"/>
    <cellStyle name="Monétaire 3" xfId="7" xr:uid="{00000000-0005-0000-0000-000005000000}"/>
    <cellStyle name="Normal" xfId="0" builtinId="0"/>
    <cellStyle name="Normal 2" xfId="4" xr:uid="{00000000-0005-0000-0000-000007000000}"/>
    <cellStyle name="Normal 2 2" xfId="9" xr:uid="{00000000-0005-0000-0000-000008000000}"/>
    <cellStyle name="Normal 3" xfId="5" xr:uid="{00000000-0005-0000-0000-000009000000}"/>
    <cellStyle name="Normal 4" xfId="1" xr:uid="{00000000-0005-0000-0000-00000A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4D7EB4"/>
      <color rgb="FFFFFF66"/>
      <color rgb="FF00FF00"/>
      <color rgb="FFCCFF99"/>
      <color rgb="FF99FF33"/>
      <color rgb="FF61D6FF"/>
      <color rgb="FF66FF99"/>
      <color rgb="FFCC0099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66173</xdr:colOff>
      <xdr:row>23</xdr:row>
      <xdr:rowOff>109287</xdr:rowOff>
    </xdr:from>
    <xdr:to>
      <xdr:col>5</xdr:col>
      <xdr:colOff>53340</xdr:colOff>
      <xdr:row>46</xdr:row>
      <xdr:rowOff>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6941122B-6650-43CE-8D95-ABE50E5AB50C}"/>
            </a:ext>
          </a:extLst>
        </xdr:cNvPr>
        <xdr:cNvGrpSpPr/>
      </xdr:nvGrpSpPr>
      <xdr:grpSpPr>
        <a:xfrm>
          <a:off x="3521843" y="4279332"/>
          <a:ext cx="202432" cy="4112193"/>
          <a:chOff x="3234335" y="4109787"/>
          <a:chExt cx="318955" cy="3510213"/>
        </a:xfrm>
      </xdr:grpSpPr>
      <xdr:cxnSp macro="">
        <xdr:nvCxnSpPr>
          <xdr:cNvPr id="8" name="Connecteur droit avec flèche 7">
            <a:extLst>
              <a:ext uri="{FF2B5EF4-FFF2-40B4-BE49-F238E27FC236}">
                <a16:creationId xmlns:a16="http://schemas.microsoft.com/office/drawing/2014/main" id="{E519DD20-B8C8-4225-B007-3BA594EF76C5}"/>
              </a:ext>
            </a:extLst>
          </xdr:cNvPr>
          <xdr:cNvCxnSpPr/>
        </xdr:nvCxnSpPr>
        <xdr:spPr>
          <a:xfrm>
            <a:off x="3244362" y="4210050"/>
            <a:ext cx="0" cy="3409950"/>
          </a:xfrm>
          <a:prstGeom prst="straightConnector1">
            <a:avLst/>
          </a:prstGeom>
          <a:ln w="12700">
            <a:solidFill>
              <a:srgbClr val="4D7EB4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necteur droit 9">
            <a:extLst>
              <a:ext uri="{FF2B5EF4-FFF2-40B4-BE49-F238E27FC236}">
                <a16:creationId xmlns:a16="http://schemas.microsoft.com/office/drawing/2014/main" id="{51E47100-1836-4B7F-A992-0468DD0F20BA}"/>
              </a:ext>
            </a:extLst>
          </xdr:cNvPr>
          <xdr:cNvCxnSpPr/>
        </xdr:nvCxnSpPr>
        <xdr:spPr>
          <a:xfrm>
            <a:off x="3234335" y="7609974"/>
            <a:ext cx="162000" cy="0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necteur droit 11">
            <a:extLst>
              <a:ext uri="{FF2B5EF4-FFF2-40B4-BE49-F238E27FC236}">
                <a16:creationId xmlns:a16="http://schemas.microsoft.com/office/drawing/2014/main" id="{F39F5960-FE11-4A2C-B381-FA6F1EE06C3C}"/>
              </a:ext>
            </a:extLst>
          </xdr:cNvPr>
          <xdr:cNvCxnSpPr/>
        </xdr:nvCxnSpPr>
        <xdr:spPr>
          <a:xfrm flipV="1">
            <a:off x="3395343" y="4109787"/>
            <a:ext cx="0" cy="3505200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necteur droit 13">
            <a:extLst>
              <a:ext uri="{FF2B5EF4-FFF2-40B4-BE49-F238E27FC236}">
                <a16:creationId xmlns:a16="http://schemas.microsoft.com/office/drawing/2014/main" id="{0D5450AD-711E-4F8C-A4AD-B83A0AFF26C3}"/>
              </a:ext>
            </a:extLst>
          </xdr:cNvPr>
          <xdr:cNvCxnSpPr/>
        </xdr:nvCxnSpPr>
        <xdr:spPr>
          <a:xfrm>
            <a:off x="3391290" y="4114800"/>
            <a:ext cx="162000" cy="0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necteur droit avec flèche 15">
            <a:extLst>
              <a:ext uri="{FF2B5EF4-FFF2-40B4-BE49-F238E27FC236}">
                <a16:creationId xmlns:a16="http://schemas.microsoft.com/office/drawing/2014/main" id="{B8AB9AC3-ABB1-4A5F-AE8B-D0423589FA90}"/>
              </a:ext>
            </a:extLst>
          </xdr:cNvPr>
          <xdr:cNvCxnSpPr/>
        </xdr:nvCxnSpPr>
        <xdr:spPr>
          <a:xfrm>
            <a:off x="3549162" y="4110288"/>
            <a:ext cx="0" cy="200025"/>
          </a:xfrm>
          <a:prstGeom prst="straightConnector1">
            <a:avLst/>
          </a:prstGeom>
          <a:ln w="127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132565</xdr:colOff>
      <xdr:row>1</xdr:row>
      <xdr:rowOff>21179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06F9F6E-B991-4609-A5F5-E2835EA41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71" t="36860" r="5134" b="25000"/>
        <a:stretch/>
      </xdr:blipFill>
      <xdr:spPr>
        <a:xfrm>
          <a:off x="0" y="28575"/>
          <a:ext cx="1315570" cy="379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0</xdr:rowOff>
    </xdr:from>
    <xdr:ext cx="2466976" cy="752476"/>
    <xdr:pic>
      <xdr:nvPicPr>
        <xdr:cNvPr id="2" name="Image 1">
          <a:extLst>
            <a:ext uri="{FF2B5EF4-FFF2-40B4-BE49-F238E27FC236}">
              <a16:creationId xmlns:a16="http://schemas.microsoft.com/office/drawing/2014/main" id="{B4A5B92B-BBF3-461E-9A06-2ABFF12CF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96" t="33691" r="10148" b="27734"/>
        <a:stretch/>
      </xdr:blipFill>
      <xdr:spPr>
        <a:xfrm>
          <a:off x="28575" y="190500"/>
          <a:ext cx="2466976" cy="75247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0</xdr:rowOff>
    </xdr:from>
    <xdr:ext cx="2466976" cy="752476"/>
    <xdr:pic>
      <xdr:nvPicPr>
        <xdr:cNvPr id="2" name="Image 1">
          <a:extLst>
            <a:ext uri="{FF2B5EF4-FFF2-40B4-BE49-F238E27FC236}">
              <a16:creationId xmlns:a16="http://schemas.microsoft.com/office/drawing/2014/main" id="{746A21A4-531B-4522-A01F-215607DBA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96" t="33691" r="10148" b="27734"/>
        <a:stretch/>
      </xdr:blipFill>
      <xdr:spPr>
        <a:xfrm>
          <a:off x="28575" y="190500"/>
          <a:ext cx="2466976" cy="7524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IntranetLogistique/Documents%20partages/TTE/TTE%20-%20Tarif%20pi&#232;ces%20et%20consommables.xlsx" TargetMode="External"/><Relationship Id="rId2" Type="http://schemas.openxmlformats.org/officeDocument/2006/relationships/externalLinkPath" Target="https://hemotech.sharepoint.com/sites/IntranetLogistique/Documents%20partages/TTE/TTE%20-%20Tarif%20pi&#232;ces%20et%20consommables.xlsx" TargetMode="External"/><Relationship Id="rId1" Type="http://schemas.openxmlformats.org/officeDocument/2006/relationships/externalLinkPath" Target="/sites/IntranetLogistique/Documents%20partages/TTE/TTE%20-%20Tarif%20pi&#232;ces%20et%20consommable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IntranetLogistique/Documents%20partages/TTE/DWA%20-%20CeCon%203000/CeCon%203000%20-%20Tarif%20pi&#232;ces.xlsx" TargetMode="External"/><Relationship Id="rId2" Type="http://schemas.openxmlformats.org/officeDocument/2006/relationships/externalLinkPath" Target="https://hemotech.sharepoint.com/sites/IntranetLogistique/Documents%20partages/TTE/DWA%20-%20CeCon%203000/CeCon%203000%20-%20Tarif%20pi&#232;ces.xlsx" TargetMode="External"/><Relationship Id="rId1" Type="http://schemas.openxmlformats.org/officeDocument/2006/relationships/externalLinkPath" Target="/sites/IntranetLogistique/Documents%20partages/TTE/DWA%20-%20CeCon%203000/CeCon%203000%20-%20Tarif%20pi&#232;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scDBdjPIEqFImx5yBmFNvLqb027gLhEt26qndT3jm3N9n4wYg_aTri2vtpApNk7" itemId="01YNCGON2TFPP5UDLA4ZDLY6DJSKDDZDHH">
      <xxl21:absoluteUrl r:id="rId2"/>
      <xxl21:relativeUrl r:id="rId3"/>
    </xxl21:alternateUrls>
    <sheetNames>
      <sheetName val="BDD"/>
      <sheetName val="BE"/>
      <sheetName val="Listes"/>
      <sheetName val="Tarif filtres PUB"/>
      <sheetName val="Tarif filtres REM"/>
      <sheetName val="Tarif réactifs PUB"/>
      <sheetName val="Tarif réactifs REM"/>
      <sheetName val="Tarif pces Testomat"/>
      <sheetName val="Tarif Pces"/>
      <sheetName val="Kits Rév."/>
      <sheetName val="Matrice Rev&amp;Consos"/>
    </sheetNames>
    <sheetDataSet>
      <sheetData sheetId="0">
        <row r="4">
          <cell r="A4"/>
          <cell r="B4"/>
          <cell r="C4"/>
          <cell r="D4"/>
          <cell r="E4"/>
          <cell r="F4"/>
          <cell r="G4"/>
          <cell r="H4"/>
          <cell r="I4"/>
          <cell r="J4">
            <v>1465.4</v>
          </cell>
          <cell r="K4"/>
          <cell r="L4"/>
          <cell r="M4">
            <v>1758.48</v>
          </cell>
        </row>
        <row r="5">
          <cell r="A5"/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</row>
        <row r="6">
          <cell r="A6" t="str">
            <v>JM05301</v>
          </cell>
          <cell r="B6" t="str">
            <v>Membrane EPDM pour PEMS II &amp; III/VII (DN06)</v>
          </cell>
          <cell r="C6" t="str">
            <v>F1183300</v>
          </cell>
          <cell r="D6" t="str">
            <v>SERVINOX</v>
          </cell>
          <cell r="E6" t="str">
            <v>MTEPIPRE</v>
          </cell>
          <cell r="F6" t="str">
            <v>TTEPI</v>
          </cell>
          <cell r="G6">
            <v>6.2</v>
          </cell>
          <cell r="H6">
            <v>1.1000000000000001</v>
          </cell>
          <cell r="I6">
            <v>6.8200000000000012</v>
          </cell>
          <cell r="J6">
            <v>9.7428571428571455</v>
          </cell>
          <cell r="K6" t="str">
            <v>2026simu</v>
          </cell>
          <cell r="M6">
            <v>11.366666666666669</v>
          </cell>
        </row>
        <row r="7">
          <cell r="A7" t="str">
            <v>JM05601</v>
          </cell>
          <cell r="B7" t="str">
            <v>Membrane silicone pour PEMS II, III &amp; VII (DN06) (chaleur)</v>
          </cell>
          <cell r="C7" t="str">
            <v>F1183300</v>
          </cell>
          <cell r="D7" t="str">
            <v>SERVINOX</v>
          </cell>
          <cell r="E7" t="str">
            <v>MTEPIQRE</v>
          </cell>
          <cell r="F7" t="str">
            <v>TTEPI</v>
          </cell>
          <cell r="G7">
            <v>6.2</v>
          </cell>
          <cell r="H7">
            <v>1.1000000000000001</v>
          </cell>
          <cell r="I7">
            <v>6.8200000000000012</v>
          </cell>
          <cell r="J7">
            <v>9.7428571428571455</v>
          </cell>
          <cell r="K7" t="str">
            <v>2026simu</v>
          </cell>
          <cell r="M7">
            <v>11.366666666666669</v>
          </cell>
        </row>
        <row r="8">
          <cell r="A8"/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</row>
        <row r="9">
          <cell r="A9" t="str">
            <v>73120</v>
          </cell>
          <cell r="B9" t="str">
            <v>Clé de démontage SW-2 pour carter standard (cf. EFILTEC)</v>
          </cell>
          <cell r="C9" t="str">
            <v>F1200369</v>
          </cell>
          <cell r="D9" t="str">
            <v>ECO</v>
          </cell>
          <cell r="E9" t="str">
            <v>MTEPIZZZ</v>
          </cell>
          <cell r="F9"/>
          <cell r="G9">
            <v>7.8</v>
          </cell>
          <cell r="H9">
            <v>1.04</v>
          </cell>
          <cell r="I9">
            <v>8.1120000000000001</v>
          </cell>
          <cell r="J9">
            <v>13.701168000000001</v>
          </cell>
          <cell r="K9">
            <v>2023</v>
          </cell>
          <cell r="L9">
            <v>20</v>
          </cell>
          <cell r="M9">
            <v>13.701168000000001</v>
          </cell>
        </row>
        <row r="10">
          <cell r="A10" t="str">
            <v>73140</v>
          </cell>
          <cell r="B10" t="str">
            <v>Clé de démontage SW-4 pour carter BB 20" (cf. EFILTEC)</v>
          </cell>
          <cell r="C10" t="str">
            <v>F1200369</v>
          </cell>
          <cell r="D10" t="str">
            <v>ECO</v>
          </cell>
          <cell r="E10" t="str">
            <v>MTEPIZZZ</v>
          </cell>
          <cell r="F10"/>
          <cell r="G10">
            <v>8.01</v>
          </cell>
          <cell r="H10">
            <v>1.04</v>
          </cell>
          <cell r="I10">
            <v>8.3304000000000009</v>
          </cell>
          <cell r="J10">
            <v>14.070045600000002</v>
          </cell>
          <cell r="K10">
            <v>2023</v>
          </cell>
          <cell r="L10">
            <v>20</v>
          </cell>
          <cell r="M10">
            <v>14.070045600000002</v>
          </cell>
        </row>
        <row r="11">
          <cell r="A11" t="str">
            <v>JCSIL254504</v>
          </cell>
          <cell r="B11" t="str">
            <v>Joint clamp silicone 25.4 - 50.4 ASME BPE (Ferrule 50.4) ASME BPE</v>
          </cell>
          <cell r="C11" t="str">
            <v>F1200369</v>
          </cell>
          <cell r="D11" t="str">
            <v>ECO</v>
          </cell>
          <cell r="E11" t="str">
            <v>MTEPIQRE</v>
          </cell>
          <cell r="F11"/>
          <cell r="G11">
            <v>2.31</v>
          </cell>
          <cell r="H11">
            <v>1.04</v>
          </cell>
          <cell r="I11">
            <v>2.4024000000000001</v>
          </cell>
          <cell r="J11">
            <v>3.4320000000000004</v>
          </cell>
          <cell r="K11">
            <v>2026</v>
          </cell>
          <cell r="L11">
            <v>10</v>
          </cell>
          <cell r="M11">
            <v>4.0040000000000004</v>
          </cell>
        </row>
        <row r="12">
          <cell r="A12" t="str">
            <v>JCSIL127217</v>
          </cell>
          <cell r="B12" t="str">
            <v>Joint clamp silicone 12.7-21.7 (ferrule d25) pour évent carter inox boucle type PLT12 (ex CLP-MICRO-JNT13.5)</v>
          </cell>
          <cell r="C12" t="str">
            <v>F1200369</v>
          </cell>
          <cell r="D12" t="str">
            <v>ECO</v>
          </cell>
          <cell r="E12" t="str">
            <v>MTEPIQRE</v>
          </cell>
          <cell r="F12"/>
          <cell r="G12">
            <v>5.54</v>
          </cell>
          <cell r="H12">
            <v>1.1000000000000001</v>
          </cell>
          <cell r="I12">
            <v>6.0940000000000003</v>
          </cell>
          <cell r="J12">
            <v>10.156666666666668</v>
          </cell>
          <cell r="K12">
            <v>2026</v>
          </cell>
          <cell r="L12">
            <v>6</v>
          </cell>
          <cell r="M12">
            <v>12.188000000000001</v>
          </cell>
        </row>
        <row r="13">
          <cell r="A13" t="str">
            <v>MEPDMVMI1</v>
          </cell>
          <cell r="B13" t="str">
            <v>Membrane EPDM de vanne à membrane Inox 1" - 25.4 ASME BPE</v>
          </cell>
          <cell r="C13" t="str">
            <v>F1200369</v>
          </cell>
          <cell r="D13" t="str">
            <v>ECO</v>
          </cell>
          <cell r="E13" t="str">
            <v>MTEPIQRE</v>
          </cell>
          <cell r="F13"/>
          <cell r="G13">
            <v>24.39</v>
          </cell>
          <cell r="H13">
            <v>1.04</v>
          </cell>
          <cell r="I13">
            <v>25.365600000000001</v>
          </cell>
          <cell r="J13">
            <v>36.23657142857143</v>
          </cell>
          <cell r="K13">
            <v>2026</v>
          </cell>
          <cell r="L13">
            <v>4</v>
          </cell>
          <cell r="M13">
            <v>42.276000000000003</v>
          </cell>
        </row>
        <row r="14">
          <cell r="A14" t="str">
            <v>EMBPEX25-21</v>
          </cell>
          <cell r="B14" t="str">
            <v>Embout inox 316L Pex25 d21.3 cannelé à souder (pour Résistance interm. Herco)</v>
          </cell>
          <cell r="C14" t="str">
            <v>F1200369</v>
          </cell>
          <cell r="D14" t="str">
            <v>ECO</v>
          </cell>
          <cell r="E14" t="str">
            <v>MTEPIQRE</v>
          </cell>
          <cell r="F14"/>
          <cell r="G14">
            <v>13.3</v>
          </cell>
          <cell r="H14">
            <v>1.04</v>
          </cell>
          <cell r="I14">
            <v>13.832000000000001</v>
          </cell>
          <cell r="J14">
            <v>19.760000000000002</v>
          </cell>
          <cell r="K14">
            <v>2025</v>
          </cell>
          <cell r="L14">
            <v>50</v>
          </cell>
          <cell r="M14">
            <v>23.053333333333335</v>
          </cell>
        </row>
        <row r="15">
          <cell r="A15" t="str">
            <v>CAP010420I12GCO</v>
          </cell>
          <cell r="B15" t="str">
            <v>Capteur de pression 0-10b 4-20mA inox 1.4301 G1/2 avec connecteur M12 coudé 2ml (surpresseur)</v>
          </cell>
          <cell r="C15" t="str">
            <v>F1200369</v>
          </cell>
          <cell r="D15" t="str">
            <v>ECO</v>
          </cell>
          <cell r="E15" t="str">
            <v>MTEPIPRE</v>
          </cell>
          <cell r="F15"/>
          <cell r="G15">
            <v>75.89</v>
          </cell>
          <cell r="H15">
            <v>1.04</v>
          </cell>
          <cell r="I15">
            <v>78.925600000000003</v>
          </cell>
          <cell r="J15">
            <v>112.75085714285716</v>
          </cell>
          <cell r="K15">
            <v>2026</v>
          </cell>
          <cell r="L15">
            <v>5</v>
          </cell>
          <cell r="M15">
            <v>131.54266666666669</v>
          </cell>
        </row>
        <row r="16">
          <cell r="A16" t="str">
            <v>MANOIDG010D6314LHOH</v>
          </cell>
          <cell r="B16" t="str">
            <v>Manomètre HOH inox droit glycériné 0-10 bars d63 inox 1/4''G (prétraitement)</v>
          </cell>
          <cell r="C16" t="str">
            <v>F1200369</v>
          </cell>
          <cell r="D16" t="str">
            <v>ECO</v>
          </cell>
          <cell r="E16" t="str">
            <v>MTEPIPRE</v>
          </cell>
          <cell r="F16"/>
          <cell r="G16">
            <v>48.17</v>
          </cell>
          <cell r="H16">
            <v>1.04</v>
          </cell>
          <cell r="I16">
            <v>50.096800000000002</v>
          </cell>
          <cell r="J16">
            <v>71.566857142857145</v>
          </cell>
          <cell r="K16">
            <v>2026</v>
          </cell>
          <cell r="L16">
            <v>10</v>
          </cell>
          <cell r="M16">
            <v>83.494666666666674</v>
          </cell>
        </row>
        <row r="17">
          <cell r="A17" t="str">
            <v>MANOIDG010D63SE</v>
          </cell>
          <cell r="B17" t="str">
            <v>Manomètre inox droit glycériné 0-10 bars d63 séparateur clamp 50.5 (départ boucle)</v>
          </cell>
          <cell r="C17" t="str">
            <v>F1200369</v>
          </cell>
          <cell r="D17" t="str">
            <v>ECO</v>
          </cell>
          <cell r="E17" t="str">
            <v>MTEPIQRE</v>
          </cell>
          <cell r="F17"/>
          <cell r="G17">
            <v>207.92</v>
          </cell>
          <cell r="H17">
            <v>1.04</v>
          </cell>
          <cell r="I17">
            <v>216.23679999999999</v>
          </cell>
          <cell r="J17">
            <v>308.9097142857143</v>
          </cell>
          <cell r="K17">
            <v>2025</v>
          </cell>
          <cell r="M17">
            <v>360.39466666666664</v>
          </cell>
        </row>
        <row r="18">
          <cell r="A18" t="str">
            <v>BACSEL100</v>
          </cell>
          <cell r="B18" t="str">
            <v>Bac à sel complet 100L (pour duplex adou 25L 8x44)</v>
          </cell>
          <cell r="C18" t="str">
            <v>F1200369</v>
          </cell>
          <cell r="D18" t="str">
            <v>ECO</v>
          </cell>
          <cell r="E18" t="str">
            <v>MTEPIPRE</v>
          </cell>
          <cell r="F18" t="str">
            <v>TTEPI</v>
          </cell>
          <cell r="G18">
            <v>103.79</v>
          </cell>
          <cell r="H18">
            <v>1.18</v>
          </cell>
          <cell r="I18">
            <v>122.4722</v>
          </cell>
          <cell r="J18">
            <v>204.12033333333335</v>
          </cell>
          <cell r="K18">
            <v>2026</v>
          </cell>
          <cell r="L18">
            <v>1</v>
          </cell>
          <cell r="M18">
            <v>244.9444</v>
          </cell>
        </row>
        <row r="19">
          <cell r="A19" t="str">
            <v>BACSEL150</v>
          </cell>
          <cell r="B19" t="str">
            <v>Bac à sel complet 150L (pour duplex adou 50L 10x54 et 75L 13x54)</v>
          </cell>
          <cell r="C19" t="str">
            <v>F1200369</v>
          </cell>
          <cell r="D19" t="str">
            <v>ECO</v>
          </cell>
          <cell r="E19" t="str">
            <v>MTEPIPRE</v>
          </cell>
          <cell r="F19" t="str">
            <v>TTEPI</v>
          </cell>
          <cell r="G19">
            <v>136.15</v>
          </cell>
          <cell r="H19">
            <v>1.18</v>
          </cell>
          <cell r="I19">
            <v>160.65700000000001</v>
          </cell>
          <cell r="J19">
            <v>267.76166666666671</v>
          </cell>
          <cell r="K19">
            <v>2025</v>
          </cell>
          <cell r="L19">
            <v>1</v>
          </cell>
          <cell r="M19">
            <v>321.31400000000002</v>
          </cell>
        </row>
        <row r="20">
          <cell r="A20" t="str">
            <v>BACSEL200</v>
          </cell>
          <cell r="B20" t="str">
            <v>Bac à sel complet 200L (pour duplex adou 100L 14x65 et 150L 16x65)</v>
          </cell>
          <cell r="C20" t="str">
            <v>F1200369</v>
          </cell>
          <cell r="D20" t="str">
            <v>ECO</v>
          </cell>
          <cell r="E20" t="str">
            <v>MTEPIPRE</v>
          </cell>
          <cell r="F20" t="str">
            <v>TTEPI</v>
          </cell>
          <cell r="G20">
            <v>152</v>
          </cell>
          <cell r="H20">
            <v>1.18</v>
          </cell>
          <cell r="I20">
            <v>179.35999999999999</v>
          </cell>
          <cell r="J20">
            <v>298.93333333333334</v>
          </cell>
          <cell r="K20">
            <v>2025</v>
          </cell>
          <cell r="L20">
            <v>1</v>
          </cell>
          <cell r="M20">
            <v>358.71999999999997</v>
          </cell>
        </row>
        <row r="21">
          <cell r="A21" t="str">
            <v>CPLBS150</v>
          </cell>
          <cell r="B21" t="str">
            <v>Plancher pour Bac à sel 150L</v>
          </cell>
          <cell r="C21" t="str">
            <v>F1200369</v>
          </cell>
          <cell r="D21" t="str">
            <v>ECO</v>
          </cell>
          <cell r="E21" t="str">
            <v>MTEPIPRE</v>
          </cell>
          <cell r="F21" t="str">
            <v>TTEPI</v>
          </cell>
          <cell r="G21">
            <v>11.66</v>
          </cell>
          <cell r="H21">
            <v>1.04</v>
          </cell>
          <cell r="I21">
            <v>12.1264</v>
          </cell>
          <cell r="J21">
            <v>39.950000000000003</v>
          </cell>
          <cell r="K21">
            <v>2025</v>
          </cell>
          <cell r="L21">
            <v>1</v>
          </cell>
          <cell r="M21">
            <v>46.61</v>
          </cell>
        </row>
        <row r="22">
          <cell r="A22" t="str">
            <v>ENSFLOTAIRCHBS</v>
          </cell>
          <cell r="B22" t="str">
            <v>Ensemble flotteur + Air check pour Bac à sel</v>
          </cell>
          <cell r="C22" t="str">
            <v>F1200369</v>
          </cell>
          <cell r="D22" t="str">
            <v>ECO</v>
          </cell>
          <cell r="E22" t="str">
            <v>MTEPIPRE</v>
          </cell>
          <cell r="F22" t="str">
            <v>TTEPI</v>
          </cell>
          <cell r="G22">
            <v>19.5</v>
          </cell>
          <cell r="H22">
            <v>1.1000000000000001</v>
          </cell>
          <cell r="I22">
            <v>21.450000000000003</v>
          </cell>
          <cell r="J22">
            <v>35.750000000000007</v>
          </cell>
          <cell r="K22">
            <v>2025</v>
          </cell>
          <cell r="L22">
            <v>1</v>
          </cell>
          <cell r="M22">
            <v>42.900000000000006</v>
          </cell>
        </row>
        <row r="23">
          <cell r="A23" t="str">
            <v>BOUT10x54</v>
          </cell>
          <cell r="B23" t="str">
            <v>Bouteille 10x54 entrée 2.5" avec embase sans crépine</v>
          </cell>
          <cell r="C23" t="str">
            <v>F1200369</v>
          </cell>
          <cell r="D23" t="str">
            <v>ECO</v>
          </cell>
          <cell r="E23" t="str">
            <v>MTEPIPRE</v>
          </cell>
          <cell r="F23" t="str">
            <v>TTEPI</v>
          </cell>
          <cell r="G23">
            <v>79.06</v>
          </cell>
          <cell r="H23">
            <v>1.04</v>
          </cell>
          <cell r="I23">
            <v>82.222400000000007</v>
          </cell>
          <cell r="J23">
            <v>137.03733333333335</v>
          </cell>
          <cell r="K23">
            <v>2025</v>
          </cell>
          <cell r="L23">
            <v>1</v>
          </cell>
          <cell r="M23">
            <v>164.44480000000001</v>
          </cell>
        </row>
        <row r="24">
          <cell r="A24" t="str">
            <v>BOUT13x54</v>
          </cell>
          <cell r="B24" t="str">
            <v>Bouteille 13x54 entrée 2.5" avec embase sans crépine</v>
          </cell>
          <cell r="C24" t="str">
            <v>F1200369</v>
          </cell>
          <cell r="D24" t="str">
            <v>ECO</v>
          </cell>
          <cell r="E24" t="str">
            <v>MTEPIPRE</v>
          </cell>
          <cell r="F24" t="str">
            <v>TTEPI</v>
          </cell>
          <cell r="G24">
            <v>119</v>
          </cell>
          <cell r="H24">
            <v>1.04</v>
          </cell>
          <cell r="I24">
            <v>123.76</v>
          </cell>
          <cell r="J24">
            <v>206.26666666666668</v>
          </cell>
          <cell r="K24">
            <v>2025</v>
          </cell>
          <cell r="L24">
            <v>1</v>
          </cell>
          <cell r="M24">
            <v>247.52</v>
          </cell>
        </row>
        <row r="25">
          <cell r="A25" t="str">
            <v>BOUT14x65</v>
          </cell>
          <cell r="B25" t="str">
            <v>Bouteille 14x65 entrée 4" avec embase sans crépine et réduction 4''/2,5''</v>
          </cell>
          <cell r="C25" t="str">
            <v>F1200369</v>
          </cell>
          <cell r="D25" t="str">
            <v>ECO</v>
          </cell>
          <cell r="E25" t="str">
            <v>MTEPIPRE</v>
          </cell>
          <cell r="F25" t="str">
            <v>TTEPI</v>
          </cell>
          <cell r="G25"/>
          <cell r="H25">
            <v>1.04</v>
          </cell>
          <cell r="I25">
            <v>0</v>
          </cell>
          <cell r="J25">
            <v>0</v>
          </cell>
          <cell r="K25">
            <v>2025</v>
          </cell>
          <cell r="L25">
            <v>1</v>
          </cell>
          <cell r="M25">
            <v>0</v>
          </cell>
        </row>
        <row r="26">
          <cell r="A26" t="str">
            <v>BOUT16x65</v>
          </cell>
          <cell r="B26" t="str">
            <v>Bouteille 16x65 entrée 4" avec embase sans crépine et réduction 4''/2,5''</v>
          </cell>
          <cell r="C26" t="str">
            <v>F1200369</v>
          </cell>
          <cell r="D26" t="str">
            <v>ECO</v>
          </cell>
          <cell r="E26" t="str">
            <v>MTEPIPRE</v>
          </cell>
          <cell r="F26" t="str">
            <v>TTEPI</v>
          </cell>
          <cell r="G26">
            <v>225</v>
          </cell>
          <cell r="H26">
            <v>1.04</v>
          </cell>
          <cell r="I26">
            <v>234</v>
          </cell>
          <cell r="J26">
            <v>390</v>
          </cell>
          <cell r="K26">
            <v>2025</v>
          </cell>
          <cell r="L26">
            <v>1</v>
          </cell>
          <cell r="M26">
            <v>468</v>
          </cell>
        </row>
        <row r="27">
          <cell r="A27" t="str">
            <v>BOUT18x65</v>
          </cell>
          <cell r="B27" t="str">
            <v>Bouteille 18x65 entrée 4" avec embase sans crépine et réduction 4''/2,5''</v>
          </cell>
          <cell r="C27" t="str">
            <v>F1200369</v>
          </cell>
          <cell r="D27" t="str">
            <v>ECO</v>
          </cell>
          <cell r="E27" t="str">
            <v>MTEPIPRE</v>
          </cell>
          <cell r="F27" t="str">
            <v>TTEPI</v>
          </cell>
          <cell r="G27"/>
          <cell r="H27">
            <v>1.04</v>
          </cell>
          <cell r="I27">
            <v>0</v>
          </cell>
          <cell r="J27">
            <v>0</v>
          </cell>
          <cell r="K27">
            <v>2025</v>
          </cell>
          <cell r="L27">
            <v>1</v>
          </cell>
          <cell r="M27">
            <v>0</v>
          </cell>
        </row>
        <row r="28">
          <cell r="A28" t="str">
            <v>TUBEDISCREP1</v>
          </cell>
          <cell r="B28" t="str">
            <v>Tube distributeur + crépine 1'' vanne Logix 255/273/278</v>
          </cell>
          <cell r="C28" t="str">
            <v>F1200369</v>
          </cell>
          <cell r="D28" t="str">
            <v>ECO</v>
          </cell>
          <cell r="E28" t="str">
            <v>MTEPIPRE</v>
          </cell>
          <cell r="F28" t="str">
            <v>TTEPI</v>
          </cell>
          <cell r="G28">
            <v>26.46</v>
          </cell>
          <cell r="H28">
            <v>1.04</v>
          </cell>
          <cell r="I28">
            <v>27.518400000000003</v>
          </cell>
          <cell r="J28">
            <v>45.864000000000004</v>
          </cell>
          <cell r="K28">
            <v>2025</v>
          </cell>
          <cell r="L28">
            <v>1</v>
          </cell>
          <cell r="M28">
            <v>55.036800000000007</v>
          </cell>
        </row>
        <row r="29">
          <cell r="A29" t="str">
            <v>R4F25F</v>
          </cell>
          <cell r="B29" t="str">
            <v>Réduction filetée bouteille 4''&gt;2,5'' grise + joint (Autotrol Logix)</v>
          </cell>
          <cell r="C29" t="str">
            <v>F1185200</v>
          </cell>
          <cell r="D29" t="str">
            <v>ECO</v>
          </cell>
          <cell r="E29" t="str">
            <v>MTEPIPRE</v>
          </cell>
          <cell r="F29" t="str">
            <v>TTEPI</v>
          </cell>
          <cell r="G29">
            <v>28.47</v>
          </cell>
          <cell r="H29">
            <v>1.04</v>
          </cell>
          <cell r="I29">
            <v>29.608799999999999</v>
          </cell>
          <cell r="J29">
            <v>49.347999999999999</v>
          </cell>
          <cell r="K29">
            <v>2025</v>
          </cell>
          <cell r="L29"/>
          <cell r="M29">
            <v>59.217599999999997</v>
          </cell>
        </row>
        <row r="30">
          <cell r="A30" t="str">
            <v>SERFLEX20-32</v>
          </cell>
          <cell r="B30" t="str">
            <v>Collier à vis inox 304L NP 20-32 lg12 (par 10) pour tube Filclair adou d25x34</v>
          </cell>
          <cell r="C30" t="str">
            <v>F1185200</v>
          </cell>
          <cell r="D30" t="str">
            <v>ECO</v>
          </cell>
          <cell r="E30" t="str">
            <v>MTEPIPRE</v>
          </cell>
          <cell r="F30" t="str">
            <v>TTEPI</v>
          </cell>
          <cell r="G30">
            <v>0.85</v>
          </cell>
          <cell r="H30">
            <v>1.04</v>
          </cell>
          <cell r="I30">
            <v>0.88400000000000001</v>
          </cell>
          <cell r="J30">
            <v>3.12</v>
          </cell>
          <cell r="K30">
            <v>2025</v>
          </cell>
          <cell r="L30"/>
          <cell r="M30">
            <v>3.64</v>
          </cell>
        </row>
        <row r="31">
          <cell r="A31" t="str">
            <v>ROBJGPPD635F14</v>
          </cell>
          <cell r="B31" t="str">
            <v>Robinet JG PP 1/4T droit male F1/4'' d6.35 (purge carter Ametek / prise sortie adou)</v>
          </cell>
          <cell r="C31" t="str">
            <v>F1200369</v>
          </cell>
          <cell r="D31" t="str">
            <v>ECO</v>
          </cell>
          <cell r="E31" t="str">
            <v>MTEPIPRE</v>
          </cell>
          <cell r="F31" t="str">
            <v>TTEPI</v>
          </cell>
          <cell r="G31">
            <v>12.33</v>
          </cell>
          <cell r="H31">
            <v>1.1000000000000001</v>
          </cell>
          <cell r="I31">
            <v>13.563000000000001</v>
          </cell>
          <cell r="J31">
            <v>22.605</v>
          </cell>
          <cell r="K31">
            <v>2025</v>
          </cell>
          <cell r="L31">
            <v>1</v>
          </cell>
          <cell r="M31">
            <v>27.126000000000001</v>
          </cell>
        </row>
        <row r="32">
          <cell r="A32" t="str">
            <v>COJGPPMF63514</v>
          </cell>
          <cell r="B32" t="str">
            <v>Coude JG PP Male Femelle d6.35 1/4'' (purge carter Ametek / prise sortie adou)</v>
          </cell>
          <cell r="C32" t="str">
            <v>F1200369</v>
          </cell>
          <cell r="D32" t="str">
            <v>ECO</v>
          </cell>
          <cell r="E32" t="str">
            <v>MTEPIPRE</v>
          </cell>
          <cell r="F32" t="str">
            <v>TTEPI</v>
          </cell>
          <cell r="G32">
            <v>6.11</v>
          </cell>
          <cell r="H32">
            <v>1.1000000000000001</v>
          </cell>
          <cell r="I32">
            <v>6.721000000000001</v>
          </cell>
          <cell r="J32">
            <v>11.201666666666668</v>
          </cell>
          <cell r="K32">
            <v>2025</v>
          </cell>
          <cell r="L32">
            <v>1</v>
          </cell>
          <cell r="M32">
            <v>13.442000000000002</v>
          </cell>
        </row>
        <row r="33">
          <cell r="A33" t="str">
            <v>TULDPEN63514</v>
          </cell>
          <cell r="B33" t="str">
            <v>Tube LDPE Naturel 6.35 1/ 4 (bobine 152ml) (purge carter Ametek)</v>
          </cell>
          <cell r="C33" t="str">
            <v>F1200369</v>
          </cell>
          <cell r="D33" t="str">
            <v>ECO</v>
          </cell>
          <cell r="E33" t="str">
            <v>MTEPIPRE</v>
          </cell>
          <cell r="F33"/>
          <cell r="G33">
            <v>76.5</v>
          </cell>
          <cell r="H33">
            <v>1.04</v>
          </cell>
          <cell r="I33">
            <v>79.56</v>
          </cell>
          <cell r="J33">
            <v>132.60000000000002</v>
          </cell>
          <cell r="K33">
            <v>2023</v>
          </cell>
          <cell r="L33">
            <v>1</v>
          </cell>
          <cell r="M33">
            <v>159.12</v>
          </cell>
        </row>
        <row r="34">
          <cell r="A34" t="str">
            <v>DOUILLE-D10</v>
          </cell>
          <cell r="B34" t="str">
            <v>Douille cannelée norma D10-1/4G (pour purge carters Ametek)</v>
          </cell>
          <cell r="C34" t="str">
            <v>F1200369</v>
          </cell>
          <cell r="D34" t="str">
            <v>ECO</v>
          </cell>
          <cell r="E34" t="str">
            <v>MTEPIPRE</v>
          </cell>
          <cell r="F34"/>
          <cell r="G34">
            <v>2.35</v>
          </cell>
          <cell r="H34">
            <v>1.1000000000000001</v>
          </cell>
          <cell r="I34">
            <v>2.5850000000000004</v>
          </cell>
          <cell r="J34">
            <v>4.3083333333333345</v>
          </cell>
          <cell r="K34">
            <v>2023</v>
          </cell>
          <cell r="L34">
            <v>1</v>
          </cell>
          <cell r="M34">
            <v>5.1700000000000008</v>
          </cell>
        </row>
        <row r="35">
          <cell r="A35" t="str">
            <v>DLFCEA20GPM</v>
          </cell>
          <cell r="B35" t="str">
            <v>DLFC Externe Autotrol 20 GPM - CAG FAS 18" (limiteur débit détasssage Performa)</v>
          </cell>
          <cell r="C35" t="str">
            <v>F1200369</v>
          </cell>
          <cell r="D35" t="str">
            <v>ECO</v>
          </cell>
          <cell r="E35" t="str">
            <v>MTEPIPRE</v>
          </cell>
          <cell r="F35"/>
          <cell r="G35">
            <v>18.41</v>
          </cell>
          <cell r="H35">
            <v>1.04</v>
          </cell>
          <cell r="I35">
            <v>19.1464</v>
          </cell>
          <cell r="J35">
            <v>27.352</v>
          </cell>
          <cell r="K35">
            <v>2023</v>
          </cell>
          <cell r="L35">
            <v>1</v>
          </cell>
          <cell r="M35">
            <v>31.910666666666668</v>
          </cell>
        </row>
        <row r="36">
          <cell r="A36" t="str">
            <v>1010154</v>
          </cell>
          <cell r="B36" t="str">
            <v>Joint torique EP pour vanne Performa Logix 255/268/278</v>
          </cell>
          <cell r="C36" t="str">
            <v>F1200369</v>
          </cell>
          <cell r="D36" t="str">
            <v>ECO</v>
          </cell>
          <cell r="E36" t="str">
            <v>MTEPIPRE</v>
          </cell>
          <cell r="F36" t="str">
            <v>TTEPI</v>
          </cell>
          <cell r="G36">
            <v>5.03</v>
          </cell>
          <cell r="H36">
            <v>1.1000000000000001</v>
          </cell>
          <cell r="I36">
            <v>5.5330000000000004</v>
          </cell>
          <cell r="J36">
            <v>9.2216666666666676</v>
          </cell>
          <cell r="K36">
            <v>2025</v>
          </cell>
          <cell r="L36">
            <v>1</v>
          </cell>
          <cell r="M36">
            <v>11.066000000000001</v>
          </cell>
        </row>
        <row r="37">
          <cell r="A37" t="str">
            <v>1000226</v>
          </cell>
          <cell r="B37" t="str">
            <v>Kit buse d'injecteur (filtre/capuchon avec joint torique) vanne Performa Logix 255</v>
          </cell>
          <cell r="C37" t="str">
            <v>F1200369</v>
          </cell>
          <cell r="D37" t="str">
            <v>ECO</v>
          </cell>
          <cell r="E37" t="str">
            <v>MTEPIPRE</v>
          </cell>
          <cell r="F37" t="str">
            <v>TTEPI</v>
          </cell>
          <cell r="G37">
            <v>3.95</v>
          </cell>
          <cell r="H37">
            <v>1.1000000000000001</v>
          </cell>
          <cell r="I37">
            <v>4.3450000000000006</v>
          </cell>
          <cell r="J37">
            <v>7.241666666666668</v>
          </cell>
          <cell r="K37">
            <v>2025</v>
          </cell>
          <cell r="L37">
            <v>1</v>
          </cell>
          <cell r="M37">
            <v>8.6900000000000013</v>
          </cell>
        </row>
        <row r="38">
          <cell r="A38" t="str">
            <v>1000269</v>
          </cell>
          <cell r="B38" t="str">
            <v>Capuchon d’injecteur avec joint torique vanne Performa Logix 255/265/268</v>
          </cell>
          <cell r="C38" t="str">
            <v>F1200369</v>
          </cell>
          <cell r="D38" t="str">
            <v>ECO</v>
          </cell>
          <cell r="E38" t="str">
            <v>MTEPIPRE</v>
          </cell>
          <cell r="F38" t="str">
            <v>TTEPI</v>
          </cell>
          <cell r="G38">
            <v>5.3</v>
          </cell>
          <cell r="H38">
            <v>1.1000000000000001</v>
          </cell>
          <cell r="I38">
            <v>5.83</v>
          </cell>
          <cell r="J38">
            <v>9.7166666666666668</v>
          </cell>
          <cell r="K38">
            <v>2025</v>
          </cell>
          <cell r="L38">
            <v>1</v>
          </cell>
          <cell r="M38">
            <v>11.66</v>
          </cell>
        </row>
        <row r="39">
          <cell r="A39" t="str">
            <v>1232370</v>
          </cell>
          <cell r="B39" t="str">
            <v>Joint torique EP tube 1'' vanne Performa Logix</v>
          </cell>
          <cell r="C39" t="str">
            <v>F1200369</v>
          </cell>
          <cell r="D39" t="str">
            <v>ECO</v>
          </cell>
          <cell r="E39" t="str">
            <v>MTEPIPRE</v>
          </cell>
          <cell r="F39" t="str">
            <v>TTEPI</v>
          </cell>
          <cell r="G39">
            <v>1.22</v>
          </cell>
          <cell r="H39">
            <v>1.1000000000000001</v>
          </cell>
          <cell r="I39">
            <v>1.3420000000000001</v>
          </cell>
          <cell r="J39">
            <v>2.2366666666666668</v>
          </cell>
          <cell r="K39">
            <v>2025</v>
          </cell>
          <cell r="L39">
            <v>1</v>
          </cell>
          <cell r="M39">
            <v>2.6840000000000002</v>
          </cell>
        </row>
        <row r="40">
          <cell r="A40" t="str">
            <v>1235373</v>
          </cell>
          <cell r="B40" t="str">
            <v>Module capteur photo interrupteur pour vanne Performa Logix 742-762-764</v>
          </cell>
          <cell r="C40" t="str">
            <v>F1200369</v>
          </cell>
          <cell r="D40" t="str">
            <v>ECO</v>
          </cell>
          <cell r="E40" t="str">
            <v>MTEPIPRE</v>
          </cell>
          <cell r="F40" t="str">
            <v>TTEPI</v>
          </cell>
          <cell r="G40">
            <v>16.510000000000002</v>
          </cell>
          <cell r="H40">
            <v>1.1000000000000001</v>
          </cell>
          <cell r="I40">
            <v>18.161000000000005</v>
          </cell>
          <cell r="J40">
            <v>30.268333333333342</v>
          </cell>
          <cell r="K40">
            <v>2024</v>
          </cell>
          <cell r="L40">
            <v>1</v>
          </cell>
          <cell r="M40">
            <v>36.32200000000001</v>
          </cell>
        </row>
        <row r="41">
          <cell r="A41" t="str">
            <v>1235734</v>
          </cell>
          <cell r="B41" t="str">
            <v>Injecteur "J" – bleu clair (bouteille diam. 10") vanne Performa Logix</v>
          </cell>
          <cell r="C41" t="str">
            <v>F1200369</v>
          </cell>
          <cell r="D41" t="str">
            <v>ECO</v>
          </cell>
          <cell r="E41" t="str">
            <v>MTEPIPRE</v>
          </cell>
          <cell r="F41" t="str">
            <v>TTEPI</v>
          </cell>
          <cell r="G41">
            <v>7.56</v>
          </cell>
          <cell r="H41">
            <v>1.1000000000000001</v>
          </cell>
          <cell r="I41">
            <v>8.3160000000000007</v>
          </cell>
          <cell r="J41">
            <v>13.860000000000001</v>
          </cell>
          <cell r="K41">
            <v>2025</v>
          </cell>
          <cell r="L41">
            <v>1</v>
          </cell>
          <cell r="M41">
            <v>16.632000000000001</v>
          </cell>
        </row>
        <row r="42">
          <cell r="A42" t="str">
            <v>1235735</v>
          </cell>
          <cell r="B42" t="str">
            <v>Injecteur "K" – rose (bouteille diam. 12") vanne Performa Logix</v>
          </cell>
          <cell r="C42" t="str">
            <v>F1200369</v>
          </cell>
          <cell r="D42" t="str">
            <v>ECO</v>
          </cell>
          <cell r="E42" t="str">
            <v>MTEPIPRE</v>
          </cell>
          <cell r="F42" t="str">
            <v>TTEPI</v>
          </cell>
          <cell r="G42">
            <v>7.56</v>
          </cell>
          <cell r="H42">
            <v>1.1000000000000001</v>
          </cell>
          <cell r="I42">
            <v>8.3160000000000007</v>
          </cell>
          <cell r="J42">
            <v>13.860000000000001</v>
          </cell>
          <cell r="K42">
            <v>2025</v>
          </cell>
          <cell r="L42">
            <v>1</v>
          </cell>
          <cell r="M42">
            <v>16.632000000000001</v>
          </cell>
        </row>
        <row r="43">
          <cell r="A43" t="str">
            <v>1235736</v>
          </cell>
          <cell r="B43" t="str">
            <v>Injecteur "L" – orange (bouteille diam. 13-14") vanne Performa Logix</v>
          </cell>
          <cell r="C43" t="str">
            <v>F1200369</v>
          </cell>
          <cell r="D43" t="str">
            <v>ECO</v>
          </cell>
          <cell r="E43" t="str">
            <v>MTEPIPRE</v>
          </cell>
          <cell r="F43" t="str">
            <v>TTEPI</v>
          </cell>
          <cell r="G43">
            <v>7.56</v>
          </cell>
          <cell r="H43">
            <v>1.1000000000000001</v>
          </cell>
          <cell r="I43">
            <v>8.3160000000000007</v>
          </cell>
          <cell r="J43">
            <v>13.860000000000001</v>
          </cell>
          <cell r="K43">
            <v>2025</v>
          </cell>
          <cell r="L43">
            <v>1</v>
          </cell>
          <cell r="M43">
            <v>16.632000000000001</v>
          </cell>
        </row>
        <row r="44">
          <cell r="A44" t="str">
            <v>PROGLO742</v>
          </cell>
          <cell r="B44" t="str">
            <v>Programmateur/contrôleur vanne Performa Logix 742 F (sans transfo)</v>
          </cell>
          <cell r="C44" t="str">
            <v>F1200369</v>
          </cell>
          <cell r="D44" t="str">
            <v>ECO</v>
          </cell>
          <cell r="E44" t="str">
            <v>MTEPIPRE</v>
          </cell>
          <cell r="F44" t="str">
            <v>TTEPI</v>
          </cell>
          <cell r="G44">
            <v>250.83</v>
          </cell>
          <cell r="H44">
            <v>1.04</v>
          </cell>
          <cell r="I44">
            <v>260.86320000000001</v>
          </cell>
          <cell r="J44">
            <v>401.14</v>
          </cell>
          <cell r="K44">
            <v>2024</v>
          </cell>
          <cell r="L44">
            <v>1</v>
          </cell>
          <cell r="M44">
            <v>468</v>
          </cell>
        </row>
        <row r="45">
          <cell r="A45" t="str">
            <v>PROGLO764</v>
          </cell>
          <cell r="B45" t="str">
            <v>Programmateur/contrôleur vanne Performa Logix 764 C (sans transfo)</v>
          </cell>
          <cell r="C45" t="str">
            <v>F1200369</v>
          </cell>
          <cell r="D45" t="str">
            <v>ECO</v>
          </cell>
          <cell r="E45" t="str">
            <v>MTEPIPRE</v>
          </cell>
          <cell r="F45" t="str">
            <v>TTEPI</v>
          </cell>
          <cell r="G45">
            <v>250.83</v>
          </cell>
          <cell r="H45">
            <v>1.04</v>
          </cell>
          <cell r="I45">
            <v>260.86320000000001</v>
          </cell>
          <cell r="J45">
            <v>401.14</v>
          </cell>
          <cell r="K45">
            <v>2024</v>
          </cell>
          <cell r="L45">
            <v>1</v>
          </cell>
          <cell r="M45">
            <v>468</v>
          </cell>
        </row>
        <row r="46">
          <cell r="A46" t="str">
            <v>TRLOGIX22012VAC</v>
          </cell>
          <cell r="B46" t="str">
            <v>Transformateur Logix 220-12VAC 500Ma</v>
          </cell>
          <cell r="C46" t="str">
            <v>F1200369</v>
          </cell>
          <cell r="D46" t="str">
            <v>ECO</v>
          </cell>
          <cell r="E46" t="str">
            <v>MTEPIPRE</v>
          </cell>
          <cell r="F46" t="str">
            <v>TTEPI</v>
          </cell>
          <cell r="G46">
            <v>75</v>
          </cell>
          <cell r="H46">
            <v>1.04</v>
          </cell>
          <cell r="I46">
            <v>78</v>
          </cell>
          <cell r="J46">
            <v>133.71</v>
          </cell>
          <cell r="K46">
            <v>2024</v>
          </cell>
          <cell r="L46">
            <v>1</v>
          </cell>
          <cell r="M46">
            <v>156</v>
          </cell>
        </row>
        <row r="47">
          <cell r="A47" t="str">
            <v>CRES1P255273278</v>
          </cell>
          <cell r="B47" t="str">
            <v>Crépine supérieure 1" vanne 255/273/278</v>
          </cell>
          <cell r="C47" t="str">
            <v>F1200369</v>
          </cell>
          <cell r="D47" t="str">
            <v>ECO</v>
          </cell>
          <cell r="E47" t="str">
            <v>MTEPIPRE</v>
          </cell>
          <cell r="F47" t="str">
            <v>TTEPI</v>
          </cell>
          <cell r="G47">
            <v>4.3</v>
          </cell>
          <cell r="H47">
            <v>1.04</v>
          </cell>
          <cell r="I47">
            <v>4.4719999999999995</v>
          </cell>
          <cell r="J47">
            <v>7.4533333333333331</v>
          </cell>
          <cell r="K47">
            <v>2026</v>
          </cell>
          <cell r="L47"/>
          <cell r="M47">
            <v>8.9439999999999991</v>
          </cell>
        </row>
        <row r="48">
          <cell r="A48" t="str">
            <v>295D221</v>
          </cell>
          <cell r="B48" t="str">
            <v>Kit de clapets vanne Performa Logix (273/278) PPN 1041174</v>
          </cell>
          <cell r="C48" t="str">
            <v>F1200369</v>
          </cell>
          <cell r="D48" t="str">
            <v>ECO</v>
          </cell>
          <cell r="E48" t="str">
            <v>MTEPIPRE</v>
          </cell>
          <cell r="F48" t="str">
            <v>TTEPI</v>
          </cell>
          <cell r="G48">
            <v>41.98</v>
          </cell>
          <cell r="H48">
            <v>1.04</v>
          </cell>
          <cell r="I48">
            <v>43.659199999999998</v>
          </cell>
          <cell r="J48">
            <v>62.370285714285714</v>
          </cell>
          <cell r="K48">
            <v>2026</v>
          </cell>
          <cell r="L48">
            <v>1</v>
          </cell>
          <cell r="M48">
            <v>72.765333333333331</v>
          </cell>
        </row>
        <row r="49">
          <cell r="A49" t="str">
            <v>VDU278764PLOGIX</v>
          </cell>
          <cell r="B49" t="str">
            <v>Jeu vannes duplex Performa Logix 278/764 pour Adou (sans crépine supérieure) [AD2XX278CV764]</v>
          </cell>
          <cell r="C49" t="str">
            <v>F1200369</v>
          </cell>
          <cell r="D49" t="str">
            <v>ECO</v>
          </cell>
          <cell r="E49" t="str">
            <v>MTEPIPRE</v>
          </cell>
          <cell r="F49" t="str">
            <v>TTEPI</v>
          </cell>
          <cell r="G49">
            <v>717.5</v>
          </cell>
          <cell r="H49">
            <v>1.04</v>
          </cell>
          <cell r="I49">
            <v>746.2</v>
          </cell>
          <cell r="J49">
            <v>1066.0000000000002</v>
          </cell>
          <cell r="K49">
            <v>2026</v>
          </cell>
          <cell r="L49">
            <v>1</v>
          </cell>
          <cell r="M49">
            <v>1243.6666666666667</v>
          </cell>
        </row>
        <row r="50">
          <cell r="A50" t="str">
            <v>VSI278764LOGIX</v>
          </cell>
          <cell r="B50" t="str">
            <v>Vanne "maître" Performa Logix 278/764 pour Adou (sans crépine sup.)</v>
          </cell>
          <cell r="C50" t="str">
            <v>F1200369</v>
          </cell>
          <cell r="D50" t="str">
            <v>ECO</v>
          </cell>
          <cell r="E50" t="str">
            <v>MTEPIPRE</v>
          </cell>
          <cell r="F50" t="str">
            <v>TTEPI</v>
          </cell>
          <cell r="G50">
            <v>357.42</v>
          </cell>
          <cell r="H50">
            <v>1.04</v>
          </cell>
          <cell r="I50">
            <v>371.71680000000003</v>
          </cell>
          <cell r="J50">
            <v>531.02400000000011</v>
          </cell>
          <cell r="K50">
            <v>2026</v>
          </cell>
          <cell r="L50">
            <v>1</v>
          </cell>
          <cell r="M50">
            <v>619.52800000000013</v>
          </cell>
        </row>
        <row r="51">
          <cell r="A51" t="str">
            <v>VSI278764LOGIXCM</v>
          </cell>
          <cell r="B51" t="str">
            <v>Vanne simplex Performa Logix 278/764 pour Adou (sans crépine sup.) RUPTURE !!!!</v>
          </cell>
          <cell r="C51" t="str">
            <v>F1200369</v>
          </cell>
          <cell r="D51" t="str">
            <v>ECO</v>
          </cell>
          <cell r="E51" t="str">
            <v>MTEPIPRE</v>
          </cell>
          <cell r="F51" t="str">
            <v>TTEPI</v>
          </cell>
          <cell r="G51">
            <v>335.69</v>
          </cell>
          <cell r="H51">
            <v>1.04</v>
          </cell>
          <cell r="I51">
            <v>349.11759999999998</v>
          </cell>
          <cell r="J51">
            <v>498.73942857142856</v>
          </cell>
          <cell r="K51">
            <v>2024</v>
          </cell>
          <cell r="L51">
            <v>1</v>
          </cell>
          <cell r="M51">
            <v>581.86266666666666</v>
          </cell>
        </row>
        <row r="52">
          <cell r="A52" t="str">
            <v>VSI273742LOGIX</v>
          </cell>
          <cell r="B52" t="str">
            <v>Vanne filtre simplex Performa Logix 273/742 pour CAG/FAS (sans crépine supérieure) !!!EOL !!!</v>
          </cell>
          <cell r="C52" t="str">
            <v>F1200369</v>
          </cell>
          <cell r="D52" t="str">
            <v>ECO</v>
          </cell>
          <cell r="E52" t="str">
            <v>MTEPIPRE</v>
          </cell>
          <cell r="F52" t="str">
            <v>TTEPI</v>
          </cell>
          <cell r="G52">
            <v>328</v>
          </cell>
          <cell r="H52">
            <v>1.04</v>
          </cell>
          <cell r="I52">
            <v>341.12</v>
          </cell>
          <cell r="J52">
            <v>487.31428571428575</v>
          </cell>
          <cell r="K52">
            <v>2025</v>
          </cell>
          <cell r="L52">
            <v>1</v>
          </cell>
          <cell r="M52">
            <v>568.53333333333342</v>
          </cell>
        </row>
        <row r="53">
          <cell r="A53" t="str">
            <v>VSI273EIQLOGIX</v>
          </cell>
          <cell r="B53" t="str">
            <v>Vanne filtre simplex Performa Logix 273 Easy-iQ pour CAG/FAS (sans crépine sup.)</v>
          </cell>
          <cell r="C53" t="str">
            <v>F1200369</v>
          </cell>
          <cell r="D53" t="str">
            <v>ECO</v>
          </cell>
          <cell r="E53" t="str">
            <v>MTEPIPRE</v>
          </cell>
          <cell r="F53" t="str">
            <v>TTEPI</v>
          </cell>
          <cell r="G53">
            <v>390</v>
          </cell>
          <cell r="H53">
            <v>1.04</v>
          </cell>
          <cell r="I53">
            <v>405.6</v>
          </cell>
          <cell r="J53">
            <v>579.42857142857144</v>
          </cell>
          <cell r="K53">
            <v>2026</v>
          </cell>
          <cell r="L53">
            <v>1</v>
          </cell>
          <cell r="M53">
            <v>676.00000000000011</v>
          </cell>
        </row>
        <row r="54">
          <cell r="A54"/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>
            <v>20</v>
          </cell>
          <cell r="M54"/>
        </row>
        <row r="55">
          <cell r="A55" t="str">
            <v>CROSSE135-d10</v>
          </cell>
          <cell r="B55" t="str">
            <v>Crosse inox 135° diamètre 10 mm</v>
          </cell>
          <cell r="C55" t="str">
            <v>F1200369</v>
          </cell>
          <cell r="D55" t="str">
            <v>ECO</v>
          </cell>
          <cell r="E55" t="str">
            <v>MTEPIQRE</v>
          </cell>
          <cell r="F55"/>
          <cell r="G55">
            <v>8.56</v>
          </cell>
          <cell r="H55">
            <v>1.04</v>
          </cell>
          <cell r="I55">
            <v>8.9024000000000001</v>
          </cell>
          <cell r="J55">
            <v>15.0361536</v>
          </cell>
          <cell r="K55">
            <v>2026</v>
          </cell>
          <cell r="L55">
            <v>20</v>
          </cell>
          <cell r="M55">
            <v>15.0361536</v>
          </cell>
        </row>
        <row r="56">
          <cell r="A56" t="str">
            <v>CROSSE180-d10</v>
          </cell>
          <cell r="B56" t="str">
            <v>Crosse inox 180° diamètre 10 mm</v>
          </cell>
          <cell r="C56" t="str">
            <v>F1185200</v>
          </cell>
          <cell r="D56" t="str">
            <v>ASEPTIC</v>
          </cell>
          <cell r="E56" t="str">
            <v>MTEPIQRE</v>
          </cell>
          <cell r="F56"/>
          <cell r="G56">
            <v>12.75</v>
          </cell>
          <cell r="H56">
            <v>1.04</v>
          </cell>
          <cell r="I56">
            <v>13.26</v>
          </cell>
          <cell r="J56">
            <v>22.396139999999999</v>
          </cell>
          <cell r="K56">
            <v>2025</v>
          </cell>
          <cell r="L56">
            <v>20</v>
          </cell>
          <cell r="M56">
            <v>22.396139999999999</v>
          </cell>
        </row>
        <row r="57">
          <cell r="A57" t="str">
            <v>CROSSE180-d12</v>
          </cell>
          <cell r="B57" t="str">
            <v>Crosse inox 180° diamètre 12 mm</v>
          </cell>
          <cell r="C57" t="str">
            <v>F1200369</v>
          </cell>
          <cell r="D57" t="str">
            <v>ECO</v>
          </cell>
          <cell r="E57" t="str">
            <v>MTEPIQRE</v>
          </cell>
          <cell r="F57"/>
          <cell r="G57">
            <v>12.75</v>
          </cell>
          <cell r="H57">
            <v>1.04</v>
          </cell>
          <cell r="I57">
            <v>13.26</v>
          </cell>
          <cell r="J57">
            <v>22.396139999999999</v>
          </cell>
          <cell r="K57">
            <v>2023</v>
          </cell>
          <cell r="L57">
            <v>20</v>
          </cell>
          <cell r="M57">
            <v>22.396139999999999</v>
          </cell>
        </row>
        <row r="58">
          <cell r="A58" t="str">
            <v>CROSSE180-d12d10</v>
          </cell>
          <cell r="B58" t="str">
            <v>Crosse inox 180° diamètre 12 mm réduite d10 (KEG) (!!! hors catalogue !!!)</v>
          </cell>
          <cell r="C58" t="str">
            <v>F1185200</v>
          </cell>
          <cell r="D58" t="str">
            <v>ASEPTIC</v>
          </cell>
          <cell r="E58" t="str">
            <v>MTEPIQRE</v>
          </cell>
          <cell r="F58"/>
          <cell r="G58">
            <v>20.5</v>
          </cell>
          <cell r="H58">
            <v>1.04</v>
          </cell>
          <cell r="I58">
            <v>21.32</v>
          </cell>
          <cell r="J58">
            <v>36.009480000000003</v>
          </cell>
          <cell r="K58"/>
          <cell r="L58">
            <v>50</v>
          </cell>
          <cell r="M58">
            <v>36.009480000000003</v>
          </cell>
        </row>
        <row r="59">
          <cell r="A59" t="str">
            <v>CROSSE90-d10</v>
          </cell>
          <cell r="B59" t="str">
            <v>Crosse inox 90° diamètre 10 mm</v>
          </cell>
          <cell r="C59" t="str">
            <v>F1200369</v>
          </cell>
          <cell r="D59" t="str">
            <v>ECO</v>
          </cell>
          <cell r="E59" t="str">
            <v>MTEPIQRE</v>
          </cell>
          <cell r="F59"/>
          <cell r="G59">
            <v>7.45</v>
          </cell>
          <cell r="H59">
            <v>1.04</v>
          </cell>
          <cell r="I59">
            <v>7.7480000000000002</v>
          </cell>
          <cell r="J59">
            <v>14.4</v>
          </cell>
          <cell r="K59">
            <v>2025</v>
          </cell>
          <cell r="L59">
            <v>20</v>
          </cell>
          <cell r="M59">
            <v>14.4</v>
          </cell>
        </row>
        <row r="60">
          <cell r="A60" t="str">
            <v>CROSSE90-d8</v>
          </cell>
          <cell r="B60" t="str">
            <v>Crosse inox 90° diamètre 8 mm (ex-00465099) (!!! hors catalogue !!!)</v>
          </cell>
          <cell r="C60" t="str">
            <v>F1185200</v>
          </cell>
          <cell r="D60" t="str">
            <v>ASEPTIC</v>
          </cell>
          <cell r="E60" t="str">
            <v>MTEPIQRE</v>
          </cell>
          <cell r="F60"/>
          <cell r="G60">
            <v>12.75</v>
          </cell>
          <cell r="H60">
            <v>1.04</v>
          </cell>
          <cell r="I60">
            <v>13.26</v>
          </cell>
          <cell r="J60">
            <v>22.396139999999999</v>
          </cell>
          <cell r="K60"/>
          <cell r="L60">
            <v>40</v>
          </cell>
          <cell r="M60">
            <v>22.396139999999999</v>
          </cell>
        </row>
        <row r="61">
          <cell r="A61"/>
          <cell r="B61"/>
          <cell r="C61"/>
          <cell r="D61"/>
          <cell r="E61"/>
          <cell r="F61"/>
          <cell r="G61"/>
          <cell r="H61"/>
          <cell r="I61"/>
          <cell r="J61"/>
          <cell r="K61"/>
          <cell r="M61"/>
        </row>
        <row r="62">
          <cell r="A62" t="str">
            <v>SUPCROSSE1012PE</v>
          </cell>
          <cell r="B62" t="str">
            <v>Support crosse d10/d12 en PE blanc avec chevilles et vis inox</v>
          </cell>
          <cell r="C62" t="str">
            <v>F1200369</v>
          </cell>
          <cell r="D62" t="str">
            <v>ECO</v>
          </cell>
          <cell r="E62" t="str">
            <v>MTEPIQRE</v>
          </cell>
          <cell r="F62" t="str">
            <v>TTEPI</v>
          </cell>
          <cell r="G62">
            <v>21</v>
          </cell>
          <cell r="H62">
            <v>1.04</v>
          </cell>
          <cell r="I62">
            <v>21.84</v>
          </cell>
          <cell r="J62">
            <v>36.4</v>
          </cell>
          <cell r="K62">
            <v>2024</v>
          </cell>
          <cell r="L62">
            <v>1</v>
          </cell>
          <cell r="M62">
            <v>43.68</v>
          </cell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>
            <v>10</v>
          </cell>
          <cell r="M63"/>
        </row>
        <row r="64">
          <cell r="A64" t="str">
            <v>ASCOINIDIALEECO</v>
          </cell>
          <cell r="B64" t="str">
            <v>Coffret d'interface Inox dialyse ECO</v>
          </cell>
          <cell r="C64" t="str">
            <v>F1200369</v>
          </cell>
          <cell r="D64" t="str">
            <v>ECO</v>
          </cell>
          <cell r="E64" t="str">
            <v>MTEPIQRE</v>
          </cell>
          <cell r="F64" t="str">
            <v>TTEPI</v>
          </cell>
          <cell r="G64">
            <v>302</v>
          </cell>
          <cell r="H64">
            <v>1.04</v>
          </cell>
          <cell r="I64">
            <v>314.08</v>
          </cell>
          <cell r="J64">
            <v>448.68571428571431</v>
          </cell>
          <cell r="K64">
            <v>2026</v>
          </cell>
          <cell r="L64">
            <v>10</v>
          </cell>
          <cell r="M64">
            <v>523.4666666666667</v>
          </cell>
        </row>
        <row r="65">
          <cell r="A65"/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>
            <v>10</v>
          </cell>
          <cell r="M65"/>
        </row>
        <row r="66">
          <cell r="A66" t="str">
            <v>KITEU-PE40-D10</v>
          </cell>
          <cell r="B66" t="str">
            <v>Kit égout PEHD noir D40 dialyse entonnoir pour crosse D10 (sans crosse)</v>
          </cell>
          <cell r="C66" t="str">
            <v>F1200369</v>
          </cell>
          <cell r="D66" t="str">
            <v>ECO</v>
          </cell>
          <cell r="E66" t="str">
            <v>MTEPIQRE</v>
          </cell>
          <cell r="F66" t="str">
            <v>TTEPI</v>
          </cell>
          <cell r="G66">
            <v>58</v>
          </cell>
          <cell r="H66">
            <v>1.04</v>
          </cell>
          <cell r="I66">
            <v>60.32</v>
          </cell>
          <cell r="J66">
            <v>86.171428571428578</v>
          </cell>
          <cell r="K66">
            <v>2024</v>
          </cell>
          <cell r="L66">
            <v>10</v>
          </cell>
          <cell r="M66">
            <v>100.53333333333333</v>
          </cell>
        </row>
        <row r="67">
          <cell r="A67" t="str">
            <v>KITEU-PE40-D10-W</v>
          </cell>
          <cell r="B67" t="str">
            <v>Kit égout PEHD blanc D40 dialyse entonnoir pour crosse D10 (sans crosse)</v>
          </cell>
          <cell r="C67" t="str">
            <v>F1200369</v>
          </cell>
          <cell r="D67" t="str">
            <v>ECO</v>
          </cell>
          <cell r="E67" t="str">
            <v>MTEPIQRE</v>
          </cell>
          <cell r="F67" t="str">
            <v>TTEPI</v>
          </cell>
          <cell r="G67">
            <v>58</v>
          </cell>
          <cell r="H67">
            <v>1.04</v>
          </cell>
          <cell r="I67">
            <v>60.32</v>
          </cell>
          <cell r="J67">
            <v>86.171428571428578</v>
          </cell>
          <cell r="K67">
            <v>2024</v>
          </cell>
          <cell r="L67">
            <v>10</v>
          </cell>
          <cell r="M67">
            <v>100.53333333333333</v>
          </cell>
        </row>
        <row r="68">
          <cell r="A68" t="str">
            <v>KITEU-PE40-D12</v>
          </cell>
          <cell r="B68" t="str">
            <v>Kit égout PEHD noir D40 dialyse entonnoir pour crosse D12 (sans crosse)</v>
          </cell>
          <cell r="C68" t="str">
            <v>F1200369</v>
          </cell>
          <cell r="D68" t="str">
            <v>ECO</v>
          </cell>
          <cell r="E68" t="str">
            <v>MTEPIQRE</v>
          </cell>
          <cell r="F68" t="str">
            <v>TTEPI</v>
          </cell>
          <cell r="G68">
            <v>62</v>
          </cell>
          <cell r="H68">
            <v>1.04</v>
          </cell>
          <cell r="I68">
            <v>64.48</v>
          </cell>
          <cell r="J68">
            <v>92.114285714285728</v>
          </cell>
          <cell r="K68">
            <v>2023</v>
          </cell>
          <cell r="L68">
            <v>10</v>
          </cell>
          <cell r="M68">
            <v>107.46666666666668</v>
          </cell>
        </row>
        <row r="69">
          <cell r="A69" t="str">
            <v>KITEU-PE40-D12-W</v>
          </cell>
          <cell r="B69" t="str">
            <v>Kit égout PEHD blanc D40 dialyse entonnoir pour crosse D12 (sans crosse)</v>
          </cell>
          <cell r="C69" t="str">
            <v>F1200369</v>
          </cell>
          <cell r="D69" t="str">
            <v>ECO</v>
          </cell>
          <cell r="E69" t="str">
            <v>MTEPIQRE</v>
          </cell>
          <cell r="F69" t="str">
            <v>TTEPI</v>
          </cell>
          <cell r="G69">
            <v>62</v>
          </cell>
          <cell r="H69">
            <v>1.04</v>
          </cell>
          <cell r="I69">
            <v>64.48</v>
          </cell>
          <cell r="J69">
            <v>92.114285714285728</v>
          </cell>
          <cell r="K69">
            <v>2023</v>
          </cell>
          <cell r="L69">
            <v>10</v>
          </cell>
          <cell r="M69">
            <v>107.46666666666668</v>
          </cell>
        </row>
        <row r="70">
          <cell r="A70"/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M70"/>
        </row>
        <row r="71">
          <cell r="A71" t="str">
            <v>KITEU-PE40-CR10</v>
          </cell>
          <cell r="B71" t="str">
            <v>Kit égout PEHD D40 dialyse entonnoir + crosse D10 180°</v>
          </cell>
          <cell r="C71" t="str">
            <v>F1185200</v>
          </cell>
          <cell r="D71" t="str">
            <v>ASEPTIC</v>
          </cell>
          <cell r="E71" t="str">
            <v>MTEDVPCE</v>
          </cell>
          <cell r="F71" t="str">
            <v>TTEPI</v>
          </cell>
          <cell r="G71">
            <v>65.5</v>
          </cell>
          <cell r="H71">
            <v>1.04</v>
          </cell>
          <cell r="I71">
            <v>68.12</v>
          </cell>
          <cell r="J71">
            <v>97.314285714285731</v>
          </cell>
          <cell r="K71"/>
          <cell r="L71"/>
          <cell r="M71">
            <v>113.53333333333335</v>
          </cell>
        </row>
        <row r="72">
          <cell r="A72" t="str">
            <v>KITEU-PE40-CR12</v>
          </cell>
          <cell r="B72" t="str">
            <v>Kit égout PEHD D40 dialyse entonnoir + crosse D12 180°</v>
          </cell>
          <cell r="C72" t="str">
            <v>F1185200</v>
          </cell>
          <cell r="D72" t="str">
            <v>ASEPTIC</v>
          </cell>
          <cell r="E72" t="str">
            <v>MTEDVPCE</v>
          </cell>
          <cell r="F72" t="str">
            <v>TTEPI</v>
          </cell>
          <cell r="G72">
            <v>65.5</v>
          </cell>
          <cell r="H72">
            <v>1.04</v>
          </cell>
          <cell r="I72">
            <v>68.12</v>
          </cell>
          <cell r="J72">
            <v>97.314285714285731</v>
          </cell>
          <cell r="K72"/>
          <cell r="L72"/>
          <cell r="M72">
            <v>113.53333333333335</v>
          </cell>
        </row>
        <row r="73">
          <cell r="A73" t="str">
            <v>CIPPSCD10D12#A</v>
          </cell>
          <cell r="B73" t="str">
            <v>Support de Crosse PPH 2x10/2x12 pour Coffret Inox + 2 vis 5x12 (ref 0119 42 19)</v>
          </cell>
          <cell r="C73" t="str">
            <v>F1185200</v>
          </cell>
          <cell r="D73" t="str">
            <v>ASEPTIC</v>
          </cell>
          <cell r="E73" t="str">
            <v>MTEDVPCE</v>
          </cell>
          <cell r="F73" t="str">
            <v>TTEPI</v>
          </cell>
          <cell r="G73">
            <v>28.4</v>
          </cell>
          <cell r="H73">
            <v>1.04</v>
          </cell>
          <cell r="I73">
            <v>29.535999999999998</v>
          </cell>
          <cell r="J73">
            <v>49.226666666666667</v>
          </cell>
          <cell r="K73">
            <v>2025</v>
          </cell>
          <cell r="L73"/>
          <cell r="M73">
            <v>59.071999999999996</v>
          </cell>
        </row>
        <row r="74">
          <cell r="A74" t="str">
            <v>RED4/2,5AUTOTROL</v>
          </cell>
          <cell r="B74" t="str">
            <v>Réduction filetée bouteille 4''&gt;2,5'' noire + joint (Autotrol Logix)</v>
          </cell>
          <cell r="C74" t="str">
            <v>F1185200</v>
          </cell>
          <cell r="D74" t="str">
            <v>ASEPTIC</v>
          </cell>
          <cell r="E74" t="str">
            <v>MTEDVPCE</v>
          </cell>
          <cell r="F74" t="str">
            <v>TTEPI</v>
          </cell>
          <cell r="G74">
            <v>45.3</v>
          </cell>
          <cell r="H74">
            <v>1.04</v>
          </cell>
          <cell r="I74">
            <v>47.112000000000002</v>
          </cell>
          <cell r="J74">
            <v>67.30285714285715</v>
          </cell>
          <cell r="K74"/>
          <cell r="M74">
            <v>78.52000000000001</v>
          </cell>
        </row>
        <row r="75">
          <cell r="A75" t="str">
            <v>DFLC12GPM</v>
          </cell>
          <cell r="B75" t="str">
            <v>DLFC Externe Autotrol 12 GPM - CAG FAS (limiteur débit détasssage Performa)</v>
          </cell>
          <cell r="C75" t="str">
            <v>F1185200</v>
          </cell>
          <cell r="D75" t="str">
            <v>ASEPTIC</v>
          </cell>
          <cell r="E75" t="str">
            <v>MTEDVPCE</v>
          </cell>
          <cell r="F75" t="str">
            <v>TTEPI</v>
          </cell>
          <cell r="G75">
            <v>39</v>
          </cell>
          <cell r="H75">
            <v>1.04</v>
          </cell>
          <cell r="I75">
            <v>40.56</v>
          </cell>
          <cell r="J75">
            <v>57.94285714285715</v>
          </cell>
          <cell r="K75"/>
          <cell r="L75">
            <v>5</v>
          </cell>
          <cell r="M75">
            <v>67.600000000000009</v>
          </cell>
        </row>
        <row r="76">
          <cell r="A76" t="str">
            <v>CLAMP38-JE</v>
          </cell>
          <cell r="B76" t="str">
            <v>Joint clamp silicone 39.2-50.4 tube D38  (Ferrule 50.4) (JTRCS5038G)</v>
          </cell>
          <cell r="C76" t="str">
            <v>F1185200</v>
          </cell>
          <cell r="D76" t="str">
            <v>ASEPTIC</v>
          </cell>
          <cell r="E76" t="str">
            <v>MTEDVPCE</v>
          </cell>
          <cell r="F76" t="str">
            <v>TTEPI</v>
          </cell>
          <cell r="G76">
            <v>7.5</v>
          </cell>
          <cell r="H76">
            <v>1.04</v>
          </cell>
          <cell r="I76">
            <v>7.8000000000000007</v>
          </cell>
          <cell r="J76">
            <v>11.142857142857144</v>
          </cell>
          <cell r="K76"/>
          <cell r="L76">
            <v>5</v>
          </cell>
          <cell r="M76">
            <v>13.000000000000002</v>
          </cell>
        </row>
        <row r="77">
          <cell r="A77" t="str">
            <v>CLP-MICRO-JNT13.5</v>
          </cell>
          <cell r="B77" t="str">
            <v>Joint silicoene micro clamp d25 pour tube d13.5 évent carter inox 0,2 &gt;&gt;&gt; JCSIL127217</v>
          </cell>
          <cell r="C77" t="str">
            <v>F1185200</v>
          </cell>
          <cell r="D77" t="str">
            <v>ASEPTIC</v>
          </cell>
          <cell r="E77" t="str">
            <v>MTEDVPCE</v>
          </cell>
          <cell r="F77" t="str">
            <v>TTEPI</v>
          </cell>
          <cell r="G77">
            <v>11.25</v>
          </cell>
          <cell r="H77">
            <v>1.04</v>
          </cell>
          <cell r="I77">
            <v>11.700000000000001</v>
          </cell>
          <cell r="J77">
            <v>16.714285714285715</v>
          </cell>
          <cell r="K77" t="str">
            <v>2024 (simu)</v>
          </cell>
          <cell r="L77">
            <v>5</v>
          </cell>
          <cell r="M77">
            <v>19.500000000000004</v>
          </cell>
        </row>
        <row r="78">
          <cell r="A78" t="str">
            <v>PI10EAI12DCBL</v>
          </cell>
          <cell r="B78" t="str">
            <v>Capteur 0-10b 4-20mA inox 1.4301 G1/2 avec connecteur M12 coudé (surpresseur) &gt; CAP010420I12GCO</v>
          </cell>
          <cell r="C78" t="str">
            <v>F1185200</v>
          </cell>
          <cell r="D78" t="str">
            <v>ASEPTIC</v>
          </cell>
          <cell r="E78" t="str">
            <v>MTEDVPCE</v>
          </cell>
          <cell r="F78" t="str">
            <v>TTEPI</v>
          </cell>
          <cell r="G78">
            <v>95</v>
          </cell>
          <cell r="H78">
            <v>1.04</v>
          </cell>
          <cell r="I78">
            <v>98.8</v>
          </cell>
          <cell r="J78">
            <v>141.14285714285714</v>
          </cell>
          <cell r="K78"/>
          <cell r="L78">
            <v>1</v>
          </cell>
          <cell r="M78">
            <v>164.66666666666666</v>
          </cell>
        </row>
        <row r="79">
          <cell r="A79" t="str">
            <v>PI10G6I14D</v>
          </cell>
          <cell r="B79" t="str">
            <v>Manomètre 0-10 bars Glycériné diam.63 inox 1/4G Droit 998410 (prétraitement P0/P1) &gt; MANOIDG010D6314LHOH</v>
          </cell>
          <cell r="C79" t="str">
            <v>F1185200</v>
          </cell>
          <cell r="D79" t="str">
            <v>ASEPTIC</v>
          </cell>
          <cell r="E79" t="str">
            <v>MTEDVPCE</v>
          </cell>
          <cell r="F79" t="str">
            <v>TTEPI</v>
          </cell>
          <cell r="G79">
            <v>55.3</v>
          </cell>
          <cell r="H79">
            <v>1.04</v>
          </cell>
          <cell r="I79">
            <v>57.512</v>
          </cell>
          <cell r="J79">
            <v>82.160000000000011</v>
          </cell>
          <cell r="K79"/>
          <cell r="L79">
            <v>5</v>
          </cell>
          <cell r="M79">
            <v>95.853333333333339</v>
          </cell>
        </row>
        <row r="80">
          <cell r="A80" t="str">
            <v>PI10G6ISCD</v>
          </cell>
          <cell r="B80" t="str">
            <v>Manomètre 0-10 bars Glycériné diam.63 inox sur séparateur TC Droit 966243 (départ boucle)</v>
          </cell>
          <cell r="C80" t="str">
            <v>F1185200</v>
          </cell>
          <cell r="D80" t="str">
            <v>ASEPTIC</v>
          </cell>
          <cell r="E80" t="str">
            <v>MTEDVPCE</v>
          </cell>
          <cell r="F80" t="str">
            <v>TTEPI</v>
          </cell>
          <cell r="G80">
            <v>232.35</v>
          </cell>
          <cell r="H80">
            <v>1.04</v>
          </cell>
          <cell r="I80">
            <v>241.64400000000001</v>
          </cell>
          <cell r="J80">
            <v>345.20571428571429</v>
          </cell>
          <cell r="K80">
            <v>2024</v>
          </cell>
          <cell r="M80">
            <v>402.74</v>
          </cell>
        </row>
        <row r="81">
          <cell r="A81" t="str">
            <v>MANOIDG010D6314</v>
          </cell>
          <cell r="B81" t="str">
            <v>Manomètre inox droit glycériné 0-10 bars d63 inox 1/4''G (prétraitement)</v>
          </cell>
          <cell r="C81" t="str">
            <v>F1200369</v>
          </cell>
          <cell r="D81" t="str">
            <v>ECO</v>
          </cell>
          <cell r="E81" t="str">
            <v>MTEDVPCE</v>
          </cell>
          <cell r="F81"/>
          <cell r="G81">
            <v>41.48</v>
          </cell>
          <cell r="H81">
            <v>1.04</v>
          </cell>
          <cell r="I81">
            <v>43.139199999999995</v>
          </cell>
          <cell r="J81">
            <v>61.627428571428567</v>
          </cell>
          <cell r="K81"/>
          <cell r="L81">
            <v>50</v>
          </cell>
          <cell r="M81">
            <v>71.898666666666657</v>
          </cell>
        </row>
        <row r="82">
          <cell r="A82" t="str">
            <v>RUPAST200023</v>
          </cell>
          <cell r="B82" t="str">
            <v>Prise d'analyse pour TESTOMAT T2000 sur Té D25 ou D32</v>
          </cell>
          <cell r="C82" t="str">
            <v>F1185200</v>
          </cell>
          <cell r="D82" t="str">
            <v>ASEPTIC</v>
          </cell>
          <cell r="E82" t="str">
            <v>MTEDVPCE</v>
          </cell>
          <cell r="F82"/>
          <cell r="G82">
            <v>53.4</v>
          </cell>
          <cell r="H82">
            <v>1.04</v>
          </cell>
          <cell r="I82">
            <v>55.536000000000001</v>
          </cell>
          <cell r="J82">
            <v>79.337142857142865</v>
          </cell>
          <cell r="K82"/>
          <cell r="L82">
            <v>1</v>
          </cell>
          <cell r="M82">
            <v>92.56</v>
          </cell>
        </row>
        <row r="83">
          <cell r="A83" t="str">
            <v>TUB-812.03-25</v>
          </cell>
          <cell r="B83" t="str">
            <v>Tube Filclair bleu d25x34 (en mètre linéaire, par couronne de 25m.)</v>
          </cell>
          <cell r="C83" t="str">
            <v>F1185200</v>
          </cell>
          <cell r="D83" t="str">
            <v>ASEPTIC</v>
          </cell>
          <cell r="E83" t="str">
            <v>MTEDVPCE</v>
          </cell>
          <cell r="F83" t="str">
            <v>TTEPI</v>
          </cell>
          <cell r="G83">
            <v>6.25</v>
          </cell>
          <cell r="H83">
            <v>1.04</v>
          </cell>
          <cell r="I83">
            <v>6.5</v>
          </cell>
          <cell r="J83">
            <v>9.2857142857142865</v>
          </cell>
          <cell r="K83"/>
          <cell r="L83">
            <v>1</v>
          </cell>
          <cell r="M83">
            <v>10.833333333333334</v>
          </cell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 t="str">
            <v>Marché</v>
          </cell>
          <cell r="M84"/>
        </row>
        <row r="85">
          <cell r="A85">
            <v>99050564</v>
          </cell>
          <cell r="B85" t="str">
            <v>Pompe CRNE3-23 Q-P-T-E-HQQE 3x380-500V 50/60Hz (P1/P2 - 00390291)[HP5500 2000 P/H et -] = 00390291 HERCO</v>
          </cell>
          <cell r="C85" t="str">
            <v>F1200466</v>
          </cell>
          <cell r="D85" t="str">
            <v>GRUNDFOS</v>
          </cell>
          <cell r="E85" t="str">
            <v>MTEPIOSM</v>
          </cell>
          <cell r="F85"/>
          <cell r="G85">
            <v>2579</v>
          </cell>
          <cell r="H85">
            <v>1.03</v>
          </cell>
          <cell r="I85">
            <v>2656.37</v>
          </cell>
          <cell r="J85">
            <v>4427.2833333333338</v>
          </cell>
          <cell r="K85">
            <v>2026</v>
          </cell>
          <cell r="L85" t="str">
            <v>Marché</v>
          </cell>
          <cell r="M85">
            <v>5312.74</v>
          </cell>
        </row>
        <row r="86">
          <cell r="A86">
            <v>96513459</v>
          </cell>
          <cell r="B86" t="str">
            <v>Pompe CRN 3-27 A-P-A-E-HQQE (P2 chimique - 00390666) [HP5500P]</v>
          </cell>
          <cell r="C86" t="str">
            <v>F1200466</v>
          </cell>
          <cell r="D86" t="str">
            <v>GRUNDFOS</v>
          </cell>
          <cell r="E86" t="str">
            <v>MTEPIOSM</v>
          </cell>
          <cell r="F86"/>
          <cell r="G86"/>
          <cell r="H86">
            <v>1.03</v>
          </cell>
          <cell r="I86">
            <v>0</v>
          </cell>
          <cell r="J86">
            <v>0</v>
          </cell>
          <cell r="K86">
            <v>2025</v>
          </cell>
          <cell r="M86">
            <v>0</v>
          </cell>
        </row>
        <row r="87">
          <cell r="A87">
            <v>96513463</v>
          </cell>
          <cell r="B87" t="str">
            <v>Pompe CRN 3-36 A-P-A-E-HQQE  (P1 chimique - 00390667) [HP5500P]</v>
          </cell>
          <cell r="C87" t="str">
            <v>F1200466</v>
          </cell>
          <cell r="D87" t="str">
            <v>GRUNDFOS</v>
          </cell>
          <cell r="E87" t="str">
            <v>MTEPIOSM</v>
          </cell>
          <cell r="F87"/>
          <cell r="G87"/>
          <cell r="H87">
            <v>1.03</v>
          </cell>
          <cell r="I87">
            <v>0</v>
          </cell>
          <cell r="J87">
            <v>0</v>
          </cell>
          <cell r="K87">
            <v>2025</v>
          </cell>
          <cell r="L87" t="str">
            <v>Marché</v>
          </cell>
          <cell r="M87">
            <v>0</v>
          </cell>
        </row>
        <row r="88">
          <cell r="A88">
            <v>99071829</v>
          </cell>
          <cell r="B88" t="str">
            <v>Pompe CRNE10-17 A-FGJ-A-E-HQQE 3x380-500 60 HZ (P1/P2 - 00390771)[HP5500 2500 P/H et +] = 00390771 HERCO</v>
          </cell>
          <cell r="C88" t="str">
            <v>F1200466</v>
          </cell>
          <cell r="D88" t="str">
            <v>GRUNDFOS</v>
          </cell>
          <cell r="E88" t="str">
            <v>MTEPIOSM</v>
          </cell>
          <cell r="F88"/>
          <cell r="G88">
            <v>4910</v>
          </cell>
          <cell r="H88">
            <v>1.03</v>
          </cell>
          <cell r="I88">
            <v>5057.3</v>
          </cell>
          <cell r="J88">
            <v>8428.8333333333339</v>
          </cell>
          <cell r="K88">
            <v>2026</v>
          </cell>
          <cell r="L88" t="str">
            <v>Marché</v>
          </cell>
          <cell r="M88">
            <v>10114.6</v>
          </cell>
        </row>
        <row r="89">
          <cell r="A89">
            <v>97639864</v>
          </cell>
          <cell r="B89" t="str">
            <v>Pompe CM3-3 A-R-G-E-AQQE O-A-A-N 50/60Hz (P3 Hercotherm pour PF - 00390654)</v>
          </cell>
          <cell r="C89" t="str">
            <v>F1200466</v>
          </cell>
          <cell r="D89" t="str">
            <v>GRUNDFOS</v>
          </cell>
          <cell r="E89" t="str">
            <v>MTEPIOSM</v>
          </cell>
          <cell r="F89"/>
          <cell r="G89">
            <v>884.58</v>
          </cell>
          <cell r="H89">
            <v>1.07</v>
          </cell>
          <cell r="I89">
            <v>946.50060000000008</v>
          </cell>
          <cell r="J89">
            <v>1577.5010000000002</v>
          </cell>
          <cell r="K89">
            <v>2024</v>
          </cell>
          <cell r="M89">
            <v>1893.0012000000002</v>
          </cell>
        </row>
        <row r="90">
          <cell r="A90">
            <v>97619332</v>
          </cell>
          <cell r="B90" t="str">
            <v>Pompe CM3-3 A-R-G-E-AQQE G-A-A-N 60Hz (P3 circulation eau chaude Hercotherm Ring) = 00390654 HERCO</v>
          </cell>
          <cell r="C90" t="str">
            <v>F1200466</v>
          </cell>
          <cell r="D90" t="str">
            <v>GRUNDFOS</v>
          </cell>
          <cell r="E90" t="str">
            <v>MTEPIOSM</v>
          </cell>
          <cell r="F90"/>
          <cell r="G90">
            <v>766.16</v>
          </cell>
          <cell r="H90">
            <v>1.08</v>
          </cell>
          <cell r="I90">
            <v>827.45280000000002</v>
          </cell>
          <cell r="J90">
            <v>1379.0880000000002</v>
          </cell>
          <cell r="K90">
            <v>2024</v>
          </cell>
          <cell r="L90" t="str">
            <v>Marché</v>
          </cell>
          <cell r="M90">
            <v>1654.9056</v>
          </cell>
        </row>
        <row r="91">
          <cell r="A91">
            <v>96806884</v>
          </cell>
          <cell r="B91" t="str">
            <v>Pompe CM3-4 A-R-G-E-AQQE F-A-A-N (P3 circulation eau chaude Hercotherm Ring) = 00390600 HERCO</v>
          </cell>
          <cell r="C91" t="str">
            <v>F1200466</v>
          </cell>
          <cell r="D91" t="str">
            <v>GRUNDFOS</v>
          </cell>
          <cell r="E91" t="str">
            <v>MTEPIOSM</v>
          </cell>
          <cell r="F91"/>
          <cell r="G91">
            <v>395</v>
          </cell>
          <cell r="H91">
            <v>1.1399999999999999</v>
          </cell>
          <cell r="I91">
            <v>450.29999999999995</v>
          </cell>
          <cell r="J91">
            <v>750.5</v>
          </cell>
          <cell r="K91">
            <v>2026</v>
          </cell>
          <cell r="L91" t="str">
            <v>Marché</v>
          </cell>
          <cell r="M91">
            <v>900.59999999999991</v>
          </cell>
        </row>
        <row r="92">
          <cell r="A92">
            <v>98976437</v>
          </cell>
          <cell r="B92" t="str">
            <v>Pompe CM5-4 A-R-G-E-AQQE F-A-A-N (P3 circulation eau chaude Hercotherm Ring) [HP5500 2500 P/H et +] = 00390624 HERCO</v>
          </cell>
          <cell r="C92" t="str">
            <v>F1200466</v>
          </cell>
          <cell r="D92" t="str">
            <v>GRUNDFOS</v>
          </cell>
          <cell r="E92" t="str">
            <v>MTEPIOSM</v>
          </cell>
          <cell r="F92"/>
          <cell r="G92">
            <v>442</v>
          </cell>
          <cell r="H92">
            <v>1.1399999999999999</v>
          </cell>
          <cell r="I92">
            <v>503.87999999999994</v>
          </cell>
          <cell r="J92">
            <v>839.8</v>
          </cell>
          <cell r="K92">
            <v>2026</v>
          </cell>
          <cell r="L92" t="str">
            <v>Marché</v>
          </cell>
          <cell r="M92">
            <v>1007.7599999999999</v>
          </cell>
        </row>
        <row r="93">
          <cell r="A93">
            <v>98394993</v>
          </cell>
          <cell r="B93" t="str">
            <v>Pompe CME3-5 A-R-I-E-AQQE U-A-D-N (surpresseur Mayotte)</v>
          </cell>
          <cell r="C93" t="str">
            <v>F1200466</v>
          </cell>
          <cell r="D93" t="str">
            <v>GRUNDFOS</v>
          </cell>
          <cell r="E93" t="str">
            <v>MTEPIPRE</v>
          </cell>
          <cell r="F93"/>
          <cell r="G93">
            <v>912</v>
          </cell>
          <cell r="H93">
            <v>1.07</v>
          </cell>
          <cell r="I93">
            <v>975.84</v>
          </cell>
          <cell r="J93">
            <v>1626.4</v>
          </cell>
          <cell r="K93">
            <v>2024</v>
          </cell>
          <cell r="L93" t="str">
            <v>Marché</v>
          </cell>
          <cell r="M93">
            <v>1951.68</v>
          </cell>
        </row>
        <row r="94">
          <cell r="A94">
            <v>98389743</v>
          </cell>
          <cell r="B94" t="str">
            <v>Pompe CRIE3-5 A-P-A-E-HQQE 1x200-240 60HZ (surpresseur)</v>
          </cell>
          <cell r="C94" t="str">
            <v>F1200466</v>
          </cell>
          <cell r="D94" t="str">
            <v>GRUNDFOS</v>
          </cell>
          <cell r="E94" t="str">
            <v>MTEPIPRE</v>
          </cell>
          <cell r="F94"/>
          <cell r="G94">
            <v>933</v>
          </cell>
          <cell r="H94">
            <v>1.03</v>
          </cell>
          <cell r="I94">
            <v>960.99</v>
          </cell>
          <cell r="J94">
            <v>1601.65</v>
          </cell>
          <cell r="K94">
            <v>2026</v>
          </cell>
          <cell r="L94" t="str">
            <v>Marché</v>
          </cell>
          <cell r="M94">
            <v>1921.98</v>
          </cell>
        </row>
        <row r="95">
          <cell r="A95">
            <v>98390073</v>
          </cell>
          <cell r="B95" t="str">
            <v>Pompe CRIE5-5 A-P-A-E-HQQE 3x380-500 60HZ (surpresseur)</v>
          </cell>
          <cell r="C95" t="str">
            <v>F1200466</v>
          </cell>
          <cell r="D95" t="str">
            <v>GRUNDFOS</v>
          </cell>
          <cell r="E95" t="str">
            <v>MTEPIPRE</v>
          </cell>
          <cell r="F95"/>
          <cell r="G95">
            <v>1292</v>
          </cell>
          <cell r="H95">
            <v>1.03</v>
          </cell>
          <cell r="I95">
            <v>1330.76</v>
          </cell>
          <cell r="J95">
            <v>2217.9333333333334</v>
          </cell>
          <cell r="K95">
            <v>2026</v>
          </cell>
          <cell r="L95" t="str">
            <v>Marché</v>
          </cell>
          <cell r="M95">
            <v>2661.52</v>
          </cell>
        </row>
        <row r="96">
          <cell r="A96">
            <v>97974077</v>
          </cell>
          <cell r="B96" t="str">
            <v>Pompe doseuse DDA 7.5-16 AR-PVC/V/C avec accessoires</v>
          </cell>
          <cell r="C96" t="str">
            <v>F1200466</v>
          </cell>
          <cell r="D96" t="str">
            <v>GRUNDFOS</v>
          </cell>
          <cell r="E96" t="str">
            <v>MTEPIPRE</v>
          </cell>
          <cell r="F96"/>
          <cell r="G96">
            <v>1036</v>
          </cell>
          <cell r="H96">
            <v>1.03</v>
          </cell>
          <cell r="I96">
            <v>1067.08</v>
          </cell>
          <cell r="J96">
            <v>1778.4666666666667</v>
          </cell>
          <cell r="K96">
            <v>2026</v>
          </cell>
          <cell r="L96" t="str">
            <v>Marché</v>
          </cell>
          <cell r="M96">
            <v>2134.16</v>
          </cell>
        </row>
        <row r="97">
          <cell r="A97">
            <v>97721950</v>
          </cell>
          <cell r="B97" t="str">
            <v>Pompe doseuse DDA 7.5-16 AR-PVC/V/CF-31U2U2FG</v>
          </cell>
          <cell r="C97" t="str">
            <v>F1200466</v>
          </cell>
          <cell r="D97" t="str">
            <v>GRUNDFOS</v>
          </cell>
          <cell r="E97" t="str">
            <v>MTEPIPRE</v>
          </cell>
          <cell r="F97"/>
          <cell r="G97">
            <v>830</v>
          </cell>
          <cell r="H97">
            <v>1.07</v>
          </cell>
          <cell r="I97">
            <v>888.1</v>
          </cell>
          <cell r="J97">
            <v>1480.1666666666667</v>
          </cell>
          <cell r="K97">
            <v>2026</v>
          </cell>
          <cell r="L97" t="str">
            <v>Marché</v>
          </cell>
          <cell r="M97">
            <v>1776.2</v>
          </cell>
        </row>
        <row r="98">
          <cell r="A98">
            <v>97691903</v>
          </cell>
          <cell r="B98" t="str">
            <v>Kit raccord pompe G5/8 PVC-U2 cône et bague tuyau 4/6,6/9,6/12,9/12mm (DDA)</v>
          </cell>
          <cell r="C98" t="str">
            <v>F1200466</v>
          </cell>
          <cell r="D98" t="str">
            <v>GRUNDFOS</v>
          </cell>
          <cell r="E98" t="str">
            <v>MTEPIPRE</v>
          </cell>
          <cell r="F98"/>
          <cell r="G98">
            <v>14</v>
          </cell>
          <cell r="H98">
            <v>1.25</v>
          </cell>
          <cell r="I98">
            <v>17.5</v>
          </cell>
          <cell r="J98">
            <v>29.166666666666668</v>
          </cell>
          <cell r="K98">
            <v>2025</v>
          </cell>
          <cell r="M98">
            <v>35</v>
          </cell>
        </row>
        <row r="99">
          <cell r="A99">
            <v>97702485</v>
          </cell>
          <cell r="B99" t="str">
            <v>Kit raccord pompe G5/8 PVC-3 cône et bague tuyau 4/6mm (DDA)</v>
          </cell>
          <cell r="C99" t="str">
            <v>F1200466</v>
          </cell>
          <cell r="D99" t="str">
            <v>GRUNDFOS</v>
          </cell>
          <cell r="E99" t="str">
            <v>MTEPIPRE</v>
          </cell>
          <cell r="F99"/>
          <cell r="G99">
            <v>11</v>
          </cell>
          <cell r="H99">
            <v>1.25</v>
          </cell>
          <cell r="I99">
            <v>13.75</v>
          </cell>
          <cell r="J99">
            <v>22.916666666666668</v>
          </cell>
          <cell r="K99">
            <v>2025</v>
          </cell>
          <cell r="L99"/>
          <cell r="M99">
            <v>27.5</v>
          </cell>
        </row>
        <row r="100">
          <cell r="A100">
            <v>95730720</v>
          </cell>
          <cell r="B100" t="str">
            <v>Kit empiècement raccord de pompe G5/8 PVC-3 cône et bague tuyau 4/6mm (DDA)</v>
          </cell>
          <cell r="C100" t="str">
            <v>F1200466</v>
          </cell>
          <cell r="D100" t="str">
            <v>GRUNDFOS</v>
          </cell>
          <cell r="E100" t="str">
            <v>MTEPIPRE</v>
          </cell>
          <cell r="F100"/>
          <cell r="G100">
            <v>12</v>
          </cell>
          <cell r="H100">
            <v>1.25</v>
          </cell>
          <cell r="I100">
            <v>15</v>
          </cell>
          <cell r="J100">
            <v>25</v>
          </cell>
          <cell r="K100">
            <v>2025</v>
          </cell>
          <cell r="L100" t="str">
            <v>Marché</v>
          </cell>
          <cell r="M100">
            <v>30</v>
          </cell>
        </row>
        <row r="101">
          <cell r="A101">
            <v>95730466</v>
          </cell>
          <cell r="B101" t="str">
            <v>Kit d'installation I011 PVC/V/C-4/6mm-2L (DDA)</v>
          </cell>
          <cell r="C101" t="str">
            <v>F1200466</v>
          </cell>
          <cell r="D101" t="str">
            <v>GRUNDFOS</v>
          </cell>
          <cell r="E101" t="str">
            <v>MTEPIPRE</v>
          </cell>
          <cell r="F101"/>
          <cell r="G101">
            <v>129</v>
          </cell>
          <cell r="H101">
            <v>1.25</v>
          </cell>
          <cell r="I101">
            <v>161.25</v>
          </cell>
          <cell r="J101">
            <v>268.75</v>
          </cell>
          <cell r="K101">
            <v>2025</v>
          </cell>
          <cell r="M101">
            <v>322.5</v>
          </cell>
        </row>
        <row r="102">
          <cell r="A102">
            <v>98046408</v>
          </cell>
          <cell r="B102" t="str">
            <v>Interface Grundfos GO universelle MI301 (Blutooth iOS/Android)</v>
          </cell>
          <cell r="C102" t="str">
            <v>F1200466</v>
          </cell>
          <cell r="D102" t="str">
            <v>GRUNDFOS</v>
          </cell>
          <cell r="E102" t="str">
            <v>MTEPIZZZ</v>
          </cell>
          <cell r="F102"/>
          <cell r="G102">
            <v>300</v>
          </cell>
          <cell r="H102">
            <v>1.1399999999999999</v>
          </cell>
          <cell r="I102">
            <v>341.99999999999994</v>
          </cell>
          <cell r="J102">
            <v>569.99999999999989</v>
          </cell>
          <cell r="K102" t="str">
            <v>2025/26</v>
          </cell>
          <cell r="M102">
            <v>683.99999999999989</v>
          </cell>
        </row>
        <row r="103">
          <cell r="A103">
            <v>96183313</v>
          </cell>
          <cell r="B103" t="str">
            <v>Programmation pompe Grundfos sur site (France métropolitaine, hors Corse)</v>
          </cell>
          <cell r="C103" t="str">
            <v>F1200466</v>
          </cell>
          <cell r="D103" t="str">
            <v>GRUNDFOS</v>
          </cell>
          <cell r="E103" t="str">
            <v>MTEMAINS</v>
          </cell>
          <cell r="F103"/>
          <cell r="G103">
            <v>482</v>
          </cell>
          <cell r="H103">
            <v>1.03</v>
          </cell>
          <cell r="I103">
            <v>496.46000000000004</v>
          </cell>
          <cell r="J103">
            <v>709.22857142857151</v>
          </cell>
          <cell r="K103">
            <v>2025</v>
          </cell>
          <cell r="L103"/>
          <cell r="M103">
            <v>827.43333333333339</v>
          </cell>
        </row>
        <row r="104">
          <cell r="A104">
            <v>97751479</v>
          </cell>
          <cell r="B104" t="str">
            <v>Kit clapets/membrane en PVC/V/C (pour DDE6-10/DDC6-10/DDC9-7/DDA7.5-16)</v>
          </cell>
          <cell r="C104" t="str">
            <v>F1200466</v>
          </cell>
          <cell r="D104" t="str">
            <v>GRUNDFOS</v>
          </cell>
          <cell r="E104" t="str">
            <v>MTEPIPRE</v>
          </cell>
          <cell r="F104"/>
          <cell r="G104">
            <v>230</v>
          </cell>
          <cell r="H104">
            <v>1.25</v>
          </cell>
          <cell r="I104">
            <v>287.5</v>
          </cell>
          <cell r="J104">
            <v>410.71428571428572</v>
          </cell>
          <cell r="K104">
            <v>2026</v>
          </cell>
          <cell r="L104" t="str">
            <v>Marché</v>
          </cell>
          <cell r="M104">
            <v>479.16666666666669</v>
          </cell>
        </row>
        <row r="105">
          <cell r="A105">
            <v>96932397</v>
          </cell>
          <cell r="B105" t="str">
            <v>Kit bague d'étanchéité pour pompe CM-G 3-4 / CM-G 5-3 (P3) [Hercotherm Ring]</v>
          </cell>
          <cell r="C105" t="str">
            <v>F1200466</v>
          </cell>
          <cell r="D105" t="str">
            <v>GRUNDFOS</v>
          </cell>
          <cell r="E105" t="str">
            <v>MTEPIOSM</v>
          </cell>
          <cell r="F105"/>
          <cell r="G105"/>
          <cell r="H105">
            <v>1.25</v>
          </cell>
          <cell r="I105">
            <v>0</v>
          </cell>
          <cell r="J105">
            <v>0</v>
          </cell>
          <cell r="K105"/>
          <cell r="M105">
            <v>0</v>
          </cell>
        </row>
        <row r="106">
          <cell r="A106">
            <v>96932440</v>
          </cell>
          <cell r="B106" t="str">
            <v>Kit garniture joints d'étanchéité AQQE/V pompe CM-1/3/5 (P3) [Hercotherm Ring] = 00650599 HERCO</v>
          </cell>
          <cell r="C106" t="str">
            <v>F1200466</v>
          </cell>
          <cell r="D106" t="str">
            <v>GRUNDFOS</v>
          </cell>
          <cell r="E106" t="str">
            <v>MTEPIOSM</v>
          </cell>
          <cell r="F106"/>
          <cell r="G106">
            <v>223.2</v>
          </cell>
          <cell r="H106">
            <v>1.25</v>
          </cell>
          <cell r="I106">
            <v>279</v>
          </cell>
          <cell r="J106">
            <v>398.57142857142861</v>
          </cell>
          <cell r="K106" t="str">
            <v>2025/26</v>
          </cell>
          <cell r="M106">
            <v>465</v>
          </cell>
        </row>
        <row r="107">
          <cell r="A107">
            <v>96932399</v>
          </cell>
          <cell r="B107" t="str">
            <v xml:space="preserve">Kit pour roulement moteur 71/80 pompe CM-G 3-4 / CM-G 5-3 (P3) [Hercotherm Ring] </v>
          </cell>
          <cell r="C107" t="str">
            <v>F1200466</v>
          </cell>
          <cell r="D107" t="str">
            <v>GRUNDFOS</v>
          </cell>
          <cell r="E107" t="str">
            <v>MTEPIOSM</v>
          </cell>
          <cell r="F107"/>
          <cell r="G107"/>
          <cell r="H107">
            <v>1.25</v>
          </cell>
          <cell r="I107">
            <v>0</v>
          </cell>
          <cell r="J107">
            <v>0</v>
          </cell>
          <cell r="K107"/>
          <cell r="M107">
            <v>0</v>
          </cell>
        </row>
        <row r="108">
          <cell r="A108">
            <v>98470945</v>
          </cell>
          <cell r="B108" t="str">
            <v>Cylindre collerette de rechange filetage 1'' Rp pour pompe CM-G3-4 (P3) ref 96806884</v>
          </cell>
          <cell r="C108" t="str">
            <v>F1200466</v>
          </cell>
          <cell r="D108" t="str">
            <v>GRUNDFOS</v>
          </cell>
          <cell r="E108" t="str">
            <v>MTEPIOSM</v>
          </cell>
          <cell r="F108"/>
          <cell r="G108">
            <v>218</v>
          </cell>
          <cell r="H108">
            <v>1.25</v>
          </cell>
          <cell r="I108">
            <v>272.5</v>
          </cell>
          <cell r="J108">
            <v>389.28571428571433</v>
          </cell>
          <cell r="K108"/>
          <cell r="M108">
            <v>454.16666666666669</v>
          </cell>
        </row>
        <row r="109">
          <cell r="A109">
            <v>96455086</v>
          </cell>
          <cell r="B109" t="str">
            <v>Kit garniture mécanique HQQE d.12mm pour pompe CRN 3-23/3-27/3-36 [n°105] = 00390242 HERCO</v>
          </cell>
          <cell r="C109" t="str">
            <v>F1200466</v>
          </cell>
          <cell r="D109" t="str">
            <v>GRUNDFOS</v>
          </cell>
          <cell r="E109" t="str">
            <v>MTEPIOSM</v>
          </cell>
          <cell r="F109"/>
          <cell r="G109">
            <v>325.8</v>
          </cell>
          <cell r="H109">
            <v>1.1399999999999999</v>
          </cell>
          <cell r="I109">
            <v>371.41199999999998</v>
          </cell>
          <cell r="J109">
            <v>530.58857142857141</v>
          </cell>
          <cell r="K109" t="str">
            <v>2025/26</v>
          </cell>
          <cell r="M109">
            <v>619.02</v>
          </cell>
        </row>
        <row r="110">
          <cell r="A110">
            <v>96478703</v>
          </cell>
          <cell r="B110" t="str">
            <v>Kit hydraulique interne pour pompe CRN 3-23 HS [n°80]</v>
          </cell>
          <cell r="C110" t="str">
            <v>F1200466</v>
          </cell>
          <cell r="D110" t="str">
            <v>GRUNDFOS</v>
          </cell>
          <cell r="E110" t="str">
            <v>MTEPIOSM</v>
          </cell>
          <cell r="F110"/>
          <cell r="G110"/>
          <cell r="H110">
            <v>1.25</v>
          </cell>
          <cell r="I110"/>
          <cell r="J110"/>
          <cell r="K110"/>
          <cell r="L110"/>
          <cell r="M110"/>
        </row>
        <row r="111">
          <cell r="A111">
            <v>96483490</v>
          </cell>
          <cell r="B111" t="str">
            <v>Kit joints EPDM SmCR HS pour pompe CRN 3-23 [n°37/38/100/109]</v>
          </cell>
          <cell r="C111" t="str">
            <v>F1200466</v>
          </cell>
          <cell r="D111" t="str">
            <v>GRUNDFOS</v>
          </cell>
          <cell r="E111" t="str">
            <v>MTEPIOSM</v>
          </cell>
          <cell r="F111"/>
          <cell r="G111"/>
          <cell r="H111">
            <v>1.25</v>
          </cell>
          <cell r="I111">
            <v>0</v>
          </cell>
          <cell r="J111">
            <v>0</v>
          </cell>
          <cell r="K111"/>
          <cell r="L111"/>
          <cell r="M111">
            <v>0</v>
          </cell>
        </row>
        <row r="112">
          <cell r="A112">
            <v>99113116</v>
          </cell>
          <cell r="B112" t="str">
            <v>Joint torique EPDM 102x4 pour pompe CRN 3-23</v>
          </cell>
          <cell r="C112" t="str">
            <v>F1200466</v>
          </cell>
          <cell r="D112" t="str">
            <v>GRUNDFOS</v>
          </cell>
          <cell r="E112" t="str">
            <v>MTEPIOSM</v>
          </cell>
          <cell r="F112"/>
          <cell r="G112">
            <v>45.9</v>
          </cell>
          <cell r="H112">
            <v>1.25</v>
          </cell>
          <cell r="I112">
            <v>57.375</v>
          </cell>
          <cell r="J112">
            <v>81.964285714285722</v>
          </cell>
          <cell r="K112">
            <v>2025</v>
          </cell>
          <cell r="M112">
            <v>95.625</v>
          </cell>
        </row>
        <row r="113">
          <cell r="A113">
            <v>93094985</v>
          </cell>
          <cell r="B113" t="str">
            <v>Moteurs standards à vitesse variable , MGE112MC V15S01 pour Pompe CRNE 3-23 HS (P1/P2) &gt;2427</v>
          </cell>
          <cell r="C113"/>
          <cell r="D113"/>
          <cell r="E113"/>
          <cell r="F113"/>
          <cell r="G113"/>
          <cell r="H113"/>
          <cell r="I113"/>
          <cell r="J113"/>
          <cell r="K113"/>
          <cell r="M113"/>
        </row>
        <row r="114">
          <cell r="A114">
            <v>99010766</v>
          </cell>
          <cell r="B114" t="str">
            <v>Kit variateur, MGE112MC 3R430-1 4.0kW B14-28-J pour Pompe CRNE 3-23 HS (P1/P2) &lt;2427</v>
          </cell>
          <cell r="C114" t="str">
            <v>F1200466</v>
          </cell>
          <cell r="D114" t="str">
            <v>GRUNDFOS</v>
          </cell>
          <cell r="E114" t="str">
            <v>MTEPIOSM</v>
          </cell>
          <cell r="F114"/>
          <cell r="G114">
            <v>1755</v>
          </cell>
          <cell r="H114">
            <v>1.03</v>
          </cell>
          <cell r="I114">
            <v>1807.65</v>
          </cell>
          <cell r="J114">
            <v>3012.7500000000005</v>
          </cell>
          <cell r="K114">
            <v>2025</v>
          </cell>
          <cell r="L114"/>
          <cell r="M114">
            <v>3615.3</v>
          </cell>
        </row>
        <row r="115">
          <cell r="A115">
            <v>98878612</v>
          </cell>
          <cell r="B115" t="str">
            <v>Variateur IE5 type CBAK (boîtier de contrôle) pour Pompe CRNE 3-23 HS (P1/P2) &lt;2427</v>
          </cell>
          <cell r="C115" t="str">
            <v>F1200466</v>
          </cell>
          <cell r="D115" t="str">
            <v>GRUNDFOS</v>
          </cell>
          <cell r="E115" t="str">
            <v>MTEPIOSM</v>
          </cell>
          <cell r="F115"/>
          <cell r="G115">
            <v>2065.5</v>
          </cell>
          <cell r="H115">
            <v>1.03</v>
          </cell>
          <cell r="I115">
            <v>2127.4650000000001</v>
          </cell>
          <cell r="J115">
            <v>3545.7750000000005</v>
          </cell>
          <cell r="K115">
            <v>2025</v>
          </cell>
          <cell r="L115"/>
          <cell r="M115">
            <v>4254.93</v>
          </cell>
        </row>
        <row r="116">
          <cell r="A116">
            <v>96511844</v>
          </cell>
          <cell r="B116" t="str">
            <v>Kit garniture mécanique HQQE  d.16mm pour pompe CRN 10-17 = 00390378 HERCO ???</v>
          </cell>
          <cell r="C116" t="str">
            <v>F1200466</v>
          </cell>
          <cell r="D116" t="str">
            <v>GRUNDFOS</v>
          </cell>
          <cell r="E116" t="str">
            <v>MTEPIOSM</v>
          </cell>
          <cell r="F116"/>
          <cell r="G116">
            <v>394.2</v>
          </cell>
          <cell r="H116">
            <v>1.25</v>
          </cell>
          <cell r="I116">
            <v>492.75</v>
          </cell>
          <cell r="J116">
            <v>703.92857142857144</v>
          </cell>
          <cell r="K116" t="str">
            <v>2025/26</v>
          </cell>
          <cell r="M116">
            <v>821.25</v>
          </cell>
        </row>
        <row r="117">
          <cell r="A117">
            <v>96509609</v>
          </cell>
          <cell r="B117" t="str">
            <v>Kit joints toriques EDM pour pompe CRN 10-17</v>
          </cell>
          <cell r="C117" t="str">
            <v>F1200466</v>
          </cell>
          <cell r="D117" t="str">
            <v>GRUNDFOS</v>
          </cell>
          <cell r="E117" t="str">
            <v>MTEPIOSM</v>
          </cell>
          <cell r="F117"/>
          <cell r="G117"/>
          <cell r="H117">
            <v>1.25</v>
          </cell>
          <cell r="I117">
            <v>0</v>
          </cell>
          <cell r="J117">
            <v>0</v>
          </cell>
          <cell r="K117"/>
          <cell r="M117">
            <v>0</v>
          </cell>
        </row>
        <row r="118">
          <cell r="A118">
            <v>96511925</v>
          </cell>
          <cell r="B118" t="str">
            <v>Kit pièces d'usure ''22 stages(SIC)'' pour pompe CRN 10-17</v>
          </cell>
          <cell r="C118" t="str">
            <v>F1200466</v>
          </cell>
          <cell r="D118" t="str">
            <v>GRUNDFOS</v>
          </cell>
          <cell r="E118" t="str">
            <v>MTEPIOSM</v>
          </cell>
          <cell r="F118"/>
          <cell r="G118"/>
          <cell r="H118">
            <v>1.25</v>
          </cell>
          <cell r="I118">
            <v>0</v>
          </cell>
          <cell r="J118">
            <v>0</v>
          </cell>
          <cell r="K118"/>
          <cell r="M118">
            <v>0</v>
          </cell>
        </row>
        <row r="119">
          <cell r="A119" t="str">
            <v>98881527/96279804</v>
          </cell>
          <cell r="B119" t="str">
            <v>Kit roulements 7306BE.2CS/6306.2Z.C3 pour pompe CRN 3-23</v>
          </cell>
          <cell r="C119" t="str">
            <v>F1200466</v>
          </cell>
          <cell r="D119" t="str">
            <v>GRUNDFOS</v>
          </cell>
          <cell r="E119" t="str">
            <v>MTEPIOSM</v>
          </cell>
          <cell r="F119"/>
          <cell r="G119">
            <v>106.2</v>
          </cell>
          <cell r="H119">
            <v>1.25</v>
          </cell>
          <cell r="I119">
            <v>132.75</v>
          </cell>
          <cell r="J119">
            <v>189.64285714285717</v>
          </cell>
          <cell r="K119"/>
          <cell r="M119">
            <v>221.25</v>
          </cell>
        </row>
        <row r="120">
          <cell r="A120">
            <v>99083449</v>
          </cell>
          <cell r="B120" t="str">
            <v>Roulement 6306.2Z.C3 pour pompe CRN 3-23</v>
          </cell>
          <cell r="C120" t="str">
            <v>F1200466</v>
          </cell>
          <cell r="D120" t="str">
            <v>GRUNDFOS</v>
          </cell>
          <cell r="E120" t="str">
            <v>MTEPIOSM</v>
          </cell>
          <cell r="F120"/>
          <cell r="G120">
            <v>25.2</v>
          </cell>
          <cell r="H120">
            <v>1.25</v>
          </cell>
          <cell r="I120">
            <v>31.5</v>
          </cell>
          <cell r="J120">
            <v>45</v>
          </cell>
          <cell r="K120"/>
          <cell r="M120">
            <v>52.5</v>
          </cell>
        </row>
        <row r="121">
          <cell r="A121">
            <v>96550559</v>
          </cell>
          <cell r="B121" t="str">
            <v>Roulement 730BE.2CS.BQH pour pompe CRN 3-23</v>
          </cell>
          <cell r="C121" t="str">
            <v>F1200466</v>
          </cell>
          <cell r="D121" t="str">
            <v>GRUNDFOS</v>
          </cell>
          <cell r="E121" t="str">
            <v>MTEPIOSM</v>
          </cell>
          <cell r="F121"/>
          <cell r="G121">
            <v>134.1</v>
          </cell>
          <cell r="H121">
            <v>1.25</v>
          </cell>
          <cell r="I121">
            <v>167.625</v>
          </cell>
          <cell r="J121">
            <v>239.46428571428572</v>
          </cell>
          <cell r="K121"/>
          <cell r="L121"/>
          <cell r="M121">
            <v>279.375</v>
          </cell>
        </row>
        <row r="122">
          <cell r="A122" t="str">
            <v>00100029</v>
          </cell>
          <cell r="B122" t="str">
            <v>Cellule de mesure de la conductivité ZK0.1 [osmoseur &lt;2017]</v>
          </cell>
          <cell r="C122" t="str">
            <v>F1177600</v>
          </cell>
          <cell r="D122" t="str">
            <v>HERCO</v>
          </cell>
          <cell r="E122" t="str">
            <v>MTEPIOSM</v>
          </cell>
          <cell r="F122"/>
          <cell r="G122">
            <v>408</v>
          </cell>
          <cell r="H122">
            <v>1.02</v>
          </cell>
          <cell r="I122">
            <v>416.16</v>
          </cell>
          <cell r="J122">
            <v>594.51428571428573</v>
          </cell>
          <cell r="K122">
            <v>2026</v>
          </cell>
          <cell r="M122">
            <v>693.6</v>
          </cell>
        </row>
        <row r="123">
          <cell r="A123" t="str">
            <v>00100072</v>
          </cell>
          <cell r="B123" t="str">
            <v>Cellule mesure de conductivité C=1,0 PT100 1/2"AG, 5m (Q01/T01/VBS) [HP5500]</v>
          </cell>
          <cell r="C123" t="str">
            <v>F1177600</v>
          </cell>
          <cell r="D123" t="str">
            <v>HERCO</v>
          </cell>
          <cell r="E123" t="str">
            <v>MTEPIOSM</v>
          </cell>
          <cell r="F123"/>
          <cell r="G123">
            <v>367</v>
          </cell>
          <cell r="H123">
            <v>1.02</v>
          </cell>
          <cell r="I123">
            <v>374.34000000000003</v>
          </cell>
          <cell r="J123">
            <v>534.7714285714286</v>
          </cell>
          <cell r="K123">
            <v>2026</v>
          </cell>
          <cell r="L123"/>
          <cell r="M123">
            <v>623.90000000000009</v>
          </cell>
        </row>
        <row r="124">
          <cell r="A124" t="str">
            <v>00100072kit</v>
          </cell>
          <cell r="B124" t="str">
            <v>Kit de remplacement sonde Q01 réf. 00100121 sur install. 03.2017 à 08/2018</v>
          </cell>
          <cell r="C124" t="str">
            <v>F1177600</v>
          </cell>
          <cell r="D124" t="str">
            <v>HERCO</v>
          </cell>
          <cell r="E124" t="str">
            <v>MTEPIOSM</v>
          </cell>
          <cell r="F124"/>
          <cell r="G124">
            <v>490.8</v>
          </cell>
          <cell r="H124">
            <v>1.02</v>
          </cell>
          <cell r="I124">
            <v>500.61600000000004</v>
          </cell>
          <cell r="J124">
            <v>715.16571428571444</v>
          </cell>
          <cell r="K124">
            <v>2026</v>
          </cell>
          <cell r="L124"/>
          <cell r="M124">
            <v>834.36000000000013</v>
          </cell>
        </row>
        <row r="125">
          <cell r="A125" t="str">
            <v>00100120</v>
          </cell>
          <cell r="B125" t="str">
            <v>Cellule mesure de conductivité C=0.1 PT100 1/2"A (Q02-Q03) [HP5500] (remplacé par 00100125)</v>
          </cell>
          <cell r="C125" t="str">
            <v>F1177600</v>
          </cell>
          <cell r="D125" t="str">
            <v>HERCO</v>
          </cell>
          <cell r="E125" t="str">
            <v>MTEPIOSM</v>
          </cell>
          <cell r="F125"/>
          <cell r="G125">
            <v>336</v>
          </cell>
          <cell r="H125">
            <v>1.02</v>
          </cell>
          <cell r="I125">
            <v>342.72</v>
          </cell>
          <cell r="J125">
            <v>489.60000000000008</v>
          </cell>
          <cell r="K125">
            <v>2026</v>
          </cell>
          <cell r="L125"/>
          <cell r="M125">
            <v>571.20000000000005</v>
          </cell>
        </row>
        <row r="126">
          <cell r="A126" t="str">
            <v>00100125</v>
          </cell>
          <cell r="B126" t="str">
            <v>Cellule mesure de conductivité C=0.1 PT100 cable 5m (Q02-Q03) [HP5500]</v>
          </cell>
          <cell r="C126" t="str">
            <v>F1177600</v>
          </cell>
          <cell r="D126" t="str">
            <v>HERCO</v>
          </cell>
          <cell r="E126" t="str">
            <v>MTEPIOSM</v>
          </cell>
          <cell r="F126"/>
          <cell r="G126">
            <v>416</v>
          </cell>
          <cell r="H126">
            <v>1.02</v>
          </cell>
          <cell r="I126">
            <v>424.32</v>
          </cell>
          <cell r="J126">
            <v>606.17142857142858</v>
          </cell>
          <cell r="K126">
            <v>2026</v>
          </cell>
          <cell r="L126"/>
          <cell r="M126">
            <v>707.2</v>
          </cell>
        </row>
        <row r="127">
          <cell r="A127" t="str">
            <v>00140051</v>
          </cell>
          <cell r="B127" t="str">
            <v>Résine échangeuse de cations (au litre, par sac de 25L.)</v>
          </cell>
          <cell r="C127" t="str">
            <v>F1177600</v>
          </cell>
          <cell r="D127" t="str">
            <v>HERCO</v>
          </cell>
          <cell r="E127" t="str">
            <v>MTEDVCON</v>
          </cell>
          <cell r="F127"/>
          <cell r="G127">
            <v>7.1</v>
          </cell>
          <cell r="H127">
            <v>1.02</v>
          </cell>
          <cell r="I127">
            <v>7.242</v>
          </cell>
          <cell r="J127">
            <v>10.345714285714287</v>
          </cell>
          <cell r="K127">
            <v>2026</v>
          </cell>
          <cell r="L127"/>
          <cell r="M127">
            <v>12.07</v>
          </cell>
        </row>
        <row r="128">
          <cell r="A128" t="str">
            <v>00140069</v>
          </cell>
          <cell r="B128" t="str">
            <v>Birm 0.6 (au litre, par sac de 28,3L.)</v>
          </cell>
          <cell r="C128" t="str">
            <v>F1177600</v>
          </cell>
          <cell r="D128" t="str">
            <v>HERCO</v>
          </cell>
          <cell r="E128" t="str">
            <v>MTEDVCON</v>
          </cell>
          <cell r="F128"/>
          <cell r="G128">
            <v>5.7</v>
          </cell>
          <cell r="H128">
            <v>1.02</v>
          </cell>
          <cell r="I128">
            <v>5.8140000000000001</v>
          </cell>
          <cell r="J128">
            <v>8.305714285714286</v>
          </cell>
          <cell r="K128">
            <v>2026</v>
          </cell>
          <cell r="L128"/>
          <cell r="M128">
            <v>9.6900000000000013</v>
          </cell>
        </row>
        <row r="129">
          <cell r="A129" t="str">
            <v>00140070</v>
          </cell>
          <cell r="B129" t="str">
            <v>Hydro-Anthracite 0.6-1.6 (au litre, par sac de 50L.)</v>
          </cell>
          <cell r="C129" t="str">
            <v>F1177600</v>
          </cell>
          <cell r="D129" t="str">
            <v>HERCO</v>
          </cell>
          <cell r="E129" t="str">
            <v>MTEDVCON</v>
          </cell>
          <cell r="F129"/>
          <cell r="G129">
            <v>5.8</v>
          </cell>
          <cell r="H129">
            <v>1.02</v>
          </cell>
          <cell r="I129">
            <v>5.9159999999999995</v>
          </cell>
          <cell r="J129">
            <v>8.451428571428572</v>
          </cell>
          <cell r="K129">
            <v>2026</v>
          </cell>
          <cell r="L129"/>
          <cell r="M129">
            <v>9.86</v>
          </cell>
        </row>
        <row r="130">
          <cell r="A130" t="str">
            <v>00300015</v>
          </cell>
          <cell r="B130" t="str">
            <v>Filtre d'évent (concentré) 0,2µm (remplacé par 00335003)</v>
          </cell>
          <cell r="C130" t="str">
            <v>F1177600</v>
          </cell>
          <cell r="D130" t="str">
            <v>HERCO</v>
          </cell>
          <cell r="E130" t="str">
            <v>MTEDVCON</v>
          </cell>
          <cell r="F130"/>
          <cell r="G130">
            <v>11</v>
          </cell>
          <cell r="H130">
            <v>1.02</v>
          </cell>
          <cell r="I130">
            <v>11.22</v>
          </cell>
          <cell r="J130">
            <v>16.028571428571432</v>
          </cell>
          <cell r="K130">
            <v>2026</v>
          </cell>
          <cell r="L130"/>
          <cell r="M130">
            <v>18.700000000000003</v>
          </cell>
        </row>
        <row r="131">
          <cell r="A131" t="str">
            <v>00330027</v>
          </cell>
          <cell r="B131" t="str">
            <v>Boîtier de filtre 20"</v>
          </cell>
          <cell r="C131" t="str">
            <v>F1177600</v>
          </cell>
          <cell r="D131" t="str">
            <v>HERCO</v>
          </cell>
          <cell r="E131" t="str">
            <v>MTEDVPCE</v>
          </cell>
          <cell r="F131"/>
          <cell r="G131">
            <v>93</v>
          </cell>
          <cell r="H131">
            <v>1.02</v>
          </cell>
          <cell r="I131">
            <v>94.86</v>
          </cell>
          <cell r="J131">
            <v>135.51428571428573</v>
          </cell>
          <cell r="K131">
            <v>2026</v>
          </cell>
          <cell r="L131"/>
          <cell r="M131">
            <v>158.1</v>
          </cell>
        </row>
        <row r="132">
          <cell r="A132" t="str">
            <v>00335017</v>
          </cell>
          <cell r="B132" t="str">
            <v>Cartouche de filtre 5 µ</v>
          </cell>
          <cell r="C132" t="str">
            <v>F1177600</v>
          </cell>
          <cell r="D132" t="str">
            <v>HERCO</v>
          </cell>
          <cell r="E132" t="str">
            <v>MTEDVCON</v>
          </cell>
          <cell r="F132"/>
          <cell r="G132">
            <v>8.1999999999999993</v>
          </cell>
          <cell r="H132">
            <v>1.02</v>
          </cell>
          <cell r="I132">
            <v>8.363999999999999</v>
          </cell>
          <cell r="J132">
            <v>11.948571428571428</v>
          </cell>
          <cell r="K132">
            <v>2026</v>
          </cell>
          <cell r="L132"/>
          <cell r="M132">
            <v>13.94</v>
          </cell>
        </row>
        <row r="133">
          <cell r="A133" t="str">
            <v>00335031</v>
          </cell>
          <cell r="B133" t="str">
            <v>Cartouche de filtre 50 µ</v>
          </cell>
          <cell r="C133" t="str">
            <v>F1177600</v>
          </cell>
          <cell r="D133" t="str">
            <v>HERCO</v>
          </cell>
          <cell r="E133" t="str">
            <v>MTEDVCON</v>
          </cell>
          <cell r="F133"/>
          <cell r="G133">
            <v>8.1999999999999993</v>
          </cell>
          <cell r="H133">
            <v>1.02</v>
          </cell>
          <cell r="I133">
            <v>8.363999999999999</v>
          </cell>
          <cell r="J133">
            <v>11.948571428571428</v>
          </cell>
          <cell r="K133">
            <v>2026</v>
          </cell>
          <cell r="L133"/>
          <cell r="M133">
            <v>13.94</v>
          </cell>
        </row>
        <row r="134">
          <cell r="A134" t="str">
            <v>00335043</v>
          </cell>
          <cell r="B134" t="str">
            <v>Cartouche de filtre 100 µ</v>
          </cell>
          <cell r="C134" t="str">
            <v>F1177600</v>
          </cell>
          <cell r="D134" t="str">
            <v>HERCO</v>
          </cell>
          <cell r="E134" t="str">
            <v>MTEDVCON</v>
          </cell>
          <cell r="F134"/>
          <cell r="G134">
            <v>8.1999999999999993</v>
          </cell>
          <cell r="H134">
            <v>1.02</v>
          </cell>
          <cell r="I134">
            <v>8.363999999999999</v>
          </cell>
          <cell r="J134">
            <v>11.948571428571428</v>
          </cell>
          <cell r="K134">
            <v>2026</v>
          </cell>
          <cell r="L134"/>
          <cell r="M134">
            <v>13.94</v>
          </cell>
        </row>
        <row r="135">
          <cell r="A135" t="str">
            <v>00335070</v>
          </cell>
          <cell r="B135" t="str">
            <v>Filtre 100µm (concentré)</v>
          </cell>
          <cell r="C135" t="str">
            <v>F1177600</v>
          </cell>
          <cell r="D135" t="str">
            <v>HERCO</v>
          </cell>
          <cell r="E135" t="str">
            <v>MTEDVCON</v>
          </cell>
          <cell r="F135"/>
          <cell r="G135">
            <v>11.4</v>
          </cell>
          <cell r="H135">
            <v>1.02</v>
          </cell>
          <cell r="I135">
            <v>11.628</v>
          </cell>
          <cell r="J135">
            <v>16.611428571428572</v>
          </cell>
          <cell r="K135">
            <v>2026</v>
          </cell>
          <cell r="L135"/>
          <cell r="M135">
            <v>19.380000000000003</v>
          </cell>
        </row>
        <row r="136">
          <cell r="A136" t="str">
            <v>00335078</v>
          </cell>
          <cell r="B136" t="str">
            <v>Cartouche de filtre 1 µ</v>
          </cell>
          <cell r="C136" t="str">
            <v>F1177600</v>
          </cell>
          <cell r="D136" t="str">
            <v>HERCO</v>
          </cell>
          <cell r="E136" t="str">
            <v>MTEDVCON</v>
          </cell>
          <cell r="F136"/>
          <cell r="G136">
            <v>28.8</v>
          </cell>
          <cell r="H136">
            <v>1.02</v>
          </cell>
          <cell r="I136">
            <v>29.376000000000001</v>
          </cell>
          <cell r="J136">
            <v>41.965714285714292</v>
          </cell>
          <cell r="K136">
            <v>2026</v>
          </cell>
          <cell r="L136"/>
          <cell r="M136">
            <v>48.96</v>
          </cell>
        </row>
        <row r="137">
          <cell r="A137" t="str">
            <v>00335199</v>
          </cell>
          <cell r="B137" t="str">
            <v>Filtre stérilisant PES 20'' 0,2 µ abs (code 3)</v>
          </cell>
          <cell r="C137" t="str">
            <v>F1177600</v>
          </cell>
          <cell r="D137" t="str">
            <v>HERCO</v>
          </cell>
          <cell r="E137" t="str">
            <v>MTETTCOF</v>
          </cell>
          <cell r="F137"/>
          <cell r="G137">
            <v>368</v>
          </cell>
          <cell r="H137">
            <v>1.02</v>
          </cell>
          <cell r="I137">
            <v>375.36</v>
          </cell>
          <cell r="J137">
            <v>536.22857142857151</v>
          </cell>
          <cell r="K137">
            <v>2026</v>
          </cell>
          <cell r="L137"/>
          <cell r="M137">
            <v>625.6</v>
          </cell>
        </row>
        <row r="138">
          <cell r="A138" t="str">
            <v>00335206</v>
          </cell>
          <cell r="B138" t="str">
            <v>Filtre stérilisant PES 20'' 0,2 µ abs (code 7) =&gt; Amazon 16VPB002-207EPG</v>
          </cell>
          <cell r="C138" t="str">
            <v>F1177600</v>
          </cell>
          <cell r="D138" t="str">
            <v>HERCO</v>
          </cell>
          <cell r="E138" t="str">
            <v>MTETTCOF</v>
          </cell>
          <cell r="F138"/>
          <cell r="G138">
            <v>368</v>
          </cell>
          <cell r="H138">
            <v>1.02</v>
          </cell>
          <cell r="I138">
            <v>375.36</v>
          </cell>
          <cell r="J138">
            <v>536.22857142857151</v>
          </cell>
          <cell r="K138">
            <v>2026</v>
          </cell>
          <cell r="L138"/>
          <cell r="M138">
            <v>625.6</v>
          </cell>
        </row>
        <row r="139">
          <cell r="A139" t="str">
            <v>00365582</v>
          </cell>
          <cell r="B139" t="str">
            <v>Vanne à saumure de bac à sel</v>
          </cell>
          <cell r="C139" t="str">
            <v>F1177600</v>
          </cell>
          <cell r="D139" t="str">
            <v>HERCO</v>
          </cell>
          <cell r="E139" t="str">
            <v>MTEDVPCE</v>
          </cell>
          <cell r="F139"/>
          <cell r="G139">
            <v>154</v>
          </cell>
          <cell r="H139">
            <v>1.02</v>
          </cell>
          <cell r="I139">
            <v>157.08000000000001</v>
          </cell>
          <cell r="J139">
            <v>224.40000000000003</v>
          </cell>
          <cell r="K139">
            <v>2026</v>
          </cell>
          <cell r="L139"/>
          <cell r="M139">
            <v>261.8</v>
          </cell>
        </row>
        <row r="140">
          <cell r="A140" t="str">
            <v>00365832</v>
          </cell>
          <cell r="B140" t="str">
            <v>Sélecteur de circuit motorisé</v>
          </cell>
          <cell r="C140" t="str">
            <v>F1177600</v>
          </cell>
          <cell r="D140" t="str">
            <v>HERCO</v>
          </cell>
          <cell r="E140" t="str">
            <v>MTEDVPCE</v>
          </cell>
          <cell r="F140"/>
          <cell r="G140">
            <v>234</v>
          </cell>
          <cell r="H140">
            <v>1.02</v>
          </cell>
          <cell r="I140">
            <v>238.68</v>
          </cell>
          <cell r="J140">
            <v>340.97142857142859</v>
          </cell>
          <cell r="K140">
            <v>2026</v>
          </cell>
          <cell r="L140"/>
          <cell r="M140">
            <v>397.8</v>
          </cell>
        </row>
        <row r="141">
          <cell r="A141" t="str">
            <v>00365943</v>
          </cell>
          <cell r="B141" t="str">
            <v>Valve de filtre WS1Cl</v>
          </cell>
          <cell r="C141" t="str">
            <v>F1177600</v>
          </cell>
          <cell r="D141" t="str">
            <v>HERCO</v>
          </cell>
          <cell r="E141" t="str">
            <v>MTEDVPCE</v>
          </cell>
          <cell r="F141"/>
          <cell r="G141">
            <v>302</v>
          </cell>
          <cell r="H141">
            <v>1.02</v>
          </cell>
          <cell r="I141">
            <v>308.04000000000002</v>
          </cell>
          <cell r="J141">
            <v>440.05714285714294</v>
          </cell>
          <cell r="K141">
            <v>2026</v>
          </cell>
          <cell r="L141"/>
          <cell r="M141">
            <v>513.40000000000009</v>
          </cell>
        </row>
        <row r="142">
          <cell r="A142" t="str">
            <v>00365944</v>
          </cell>
          <cell r="B142" t="str">
            <v>Valve de filtre WS125CI</v>
          </cell>
          <cell r="C142" t="str">
            <v>F1177600</v>
          </cell>
          <cell r="D142" t="str">
            <v>HERCO</v>
          </cell>
          <cell r="E142" t="str">
            <v>MTEDVPCE</v>
          </cell>
          <cell r="F142"/>
          <cell r="G142">
            <v>482</v>
          </cell>
          <cell r="H142">
            <v>1.02</v>
          </cell>
          <cell r="I142">
            <v>491.64</v>
          </cell>
          <cell r="J142">
            <v>702.34285714285716</v>
          </cell>
          <cell r="K142">
            <v>2026</v>
          </cell>
          <cell r="L142"/>
          <cell r="M142">
            <v>819.4</v>
          </cell>
        </row>
        <row r="143">
          <cell r="A143" t="str">
            <v>00365954</v>
          </cell>
          <cell r="B143" t="str">
            <v>Clé de service pour Clack</v>
          </cell>
          <cell r="C143" t="str">
            <v>F1177600</v>
          </cell>
          <cell r="D143" t="str">
            <v>HERCO</v>
          </cell>
          <cell r="E143" t="str">
            <v>MTEDVPCE</v>
          </cell>
          <cell r="F143"/>
          <cell r="G143">
            <v>19.600000000000001</v>
          </cell>
          <cell r="H143">
            <v>1.02</v>
          </cell>
          <cell r="I143">
            <v>19.992000000000001</v>
          </cell>
          <cell r="J143">
            <v>28.560000000000002</v>
          </cell>
          <cell r="K143">
            <v>2026</v>
          </cell>
          <cell r="L143"/>
          <cell r="M143">
            <v>33.32</v>
          </cell>
        </row>
        <row r="144">
          <cell r="A144" t="str">
            <v>00365974</v>
          </cell>
          <cell r="B144" t="str">
            <v>Electronique pour Ecotrol tête adoucisseur</v>
          </cell>
          <cell r="C144" t="str">
            <v>F1177600</v>
          </cell>
          <cell r="D144" t="str">
            <v>HERCO</v>
          </cell>
          <cell r="E144" t="str">
            <v>MTEDVPCE</v>
          </cell>
          <cell r="F144"/>
          <cell r="G144">
            <v>321</v>
          </cell>
          <cell r="H144">
            <v>1.02</v>
          </cell>
          <cell r="I144">
            <v>327.42</v>
          </cell>
          <cell r="J144">
            <v>467.74285714285719</v>
          </cell>
          <cell r="K144">
            <v>2026</v>
          </cell>
          <cell r="L144"/>
          <cell r="M144">
            <v>545.70000000000005</v>
          </cell>
        </row>
        <row r="145">
          <cell r="A145" t="str">
            <v>00365997</v>
          </cell>
          <cell r="B145" t="str">
            <v>WS1 Jeu de pistons et bague d'écartement vanne Clack</v>
          </cell>
          <cell r="C145" t="str">
            <v>F1177600</v>
          </cell>
          <cell r="D145" t="str">
            <v>HERCO</v>
          </cell>
          <cell r="E145" t="str">
            <v>MTEDVPCE</v>
          </cell>
          <cell r="F145"/>
          <cell r="G145">
            <v>103</v>
          </cell>
          <cell r="H145">
            <v>1.02</v>
          </cell>
          <cell r="I145">
            <v>105.06</v>
          </cell>
          <cell r="J145">
            <v>150.08571428571429</v>
          </cell>
          <cell r="K145">
            <v>2026</v>
          </cell>
          <cell r="L145"/>
          <cell r="M145">
            <v>175.10000000000002</v>
          </cell>
        </row>
        <row r="146">
          <cell r="A146" t="str">
            <v>00366002</v>
          </cell>
          <cell r="B146" t="str">
            <v>Jeu de piston et bague d'écartement</v>
          </cell>
          <cell r="C146" t="str">
            <v>F1177600</v>
          </cell>
          <cell r="D146" t="str">
            <v>HERCO</v>
          </cell>
          <cell r="E146" t="str">
            <v>MTEDVPCE</v>
          </cell>
          <cell r="F146"/>
          <cell r="G146">
            <v>155</v>
          </cell>
          <cell r="H146">
            <v>1.02</v>
          </cell>
          <cell r="I146">
            <v>158.1</v>
          </cell>
          <cell r="J146">
            <v>225.85714285714286</v>
          </cell>
          <cell r="K146">
            <v>2026</v>
          </cell>
          <cell r="L146"/>
          <cell r="M146">
            <v>263.5</v>
          </cell>
        </row>
        <row r="147">
          <cell r="A147" t="str">
            <v>00366094</v>
          </cell>
          <cell r="B147" t="str">
            <v>Valve complète adoucisseur Clack injecteur</v>
          </cell>
          <cell r="C147" t="str">
            <v>F1177600</v>
          </cell>
          <cell r="D147" t="str">
            <v>HERCO</v>
          </cell>
          <cell r="E147" t="str">
            <v>MTEDVPCE</v>
          </cell>
          <cell r="F147"/>
          <cell r="G147">
            <v>675</v>
          </cell>
          <cell r="H147">
            <v>1.02</v>
          </cell>
          <cell r="I147">
            <v>688.5</v>
          </cell>
          <cell r="J147">
            <v>983.57142857142867</v>
          </cell>
          <cell r="K147">
            <v>2026</v>
          </cell>
          <cell r="L147"/>
          <cell r="M147">
            <v>1147.5</v>
          </cell>
        </row>
        <row r="148">
          <cell r="A148" t="str">
            <v>00370031</v>
          </cell>
          <cell r="B148" t="str">
            <v>Capteur dureté Limitron</v>
          </cell>
          <cell r="C148" t="str">
            <v>F1177600</v>
          </cell>
          <cell r="D148" t="str">
            <v>HERCO</v>
          </cell>
          <cell r="E148" t="str">
            <v>MTETTCOR</v>
          </cell>
          <cell r="F148"/>
          <cell r="G148">
            <v>36</v>
          </cell>
          <cell r="H148">
            <v>1.02</v>
          </cell>
          <cell r="I148">
            <v>36.72</v>
          </cell>
          <cell r="J148">
            <v>52.457142857142856</v>
          </cell>
          <cell r="K148">
            <v>2026</v>
          </cell>
          <cell r="L148"/>
          <cell r="M148">
            <v>61.2</v>
          </cell>
        </row>
        <row r="149">
          <cell r="A149" t="str">
            <v>00370140</v>
          </cell>
          <cell r="B149" t="str">
            <v>Partie supérieure pour Limitron</v>
          </cell>
          <cell r="C149" t="str">
            <v>F1177600</v>
          </cell>
          <cell r="D149" t="str">
            <v>HERCO</v>
          </cell>
          <cell r="E149" t="str">
            <v>MTEPIPRE</v>
          </cell>
          <cell r="F149"/>
          <cell r="G149">
            <v>79</v>
          </cell>
          <cell r="H149">
            <v>1.02</v>
          </cell>
          <cell r="I149">
            <v>80.58</v>
          </cell>
          <cell r="J149">
            <v>115.11428571428571</v>
          </cell>
          <cell r="K149">
            <v>2026</v>
          </cell>
          <cell r="M149">
            <v>134.30000000000001</v>
          </cell>
        </row>
        <row r="150">
          <cell r="A150" t="str">
            <v>00370144</v>
          </cell>
          <cell r="B150" t="str">
            <v>Unite de contrôle de dureté Limitron 1''</v>
          </cell>
          <cell r="C150" t="str">
            <v>F1177600</v>
          </cell>
          <cell r="D150" t="str">
            <v>HERCO</v>
          </cell>
          <cell r="E150" t="str">
            <v>MTEPIPRE</v>
          </cell>
          <cell r="F150"/>
          <cell r="G150">
            <v>500</v>
          </cell>
          <cell r="H150">
            <v>1.02</v>
          </cell>
          <cell r="I150">
            <v>510</v>
          </cell>
          <cell r="J150">
            <v>728.57142857142867</v>
          </cell>
          <cell r="K150">
            <v>2026</v>
          </cell>
          <cell r="M150">
            <v>850</v>
          </cell>
        </row>
        <row r="151">
          <cell r="A151" t="str">
            <v>00382158</v>
          </cell>
          <cell r="B151" t="str">
            <v>Joint torique d'étanchéité boîtier de filtre 20 "</v>
          </cell>
          <cell r="C151" t="str">
            <v>F1177600</v>
          </cell>
          <cell r="D151" t="str">
            <v>HERCO</v>
          </cell>
          <cell r="E151" t="str">
            <v>MTEDVPCE</v>
          </cell>
          <cell r="F151"/>
          <cell r="G151">
            <v>36</v>
          </cell>
          <cell r="H151">
            <v>1.02</v>
          </cell>
          <cell r="I151">
            <v>36.72</v>
          </cell>
          <cell r="J151">
            <v>52.457142857142856</v>
          </cell>
          <cell r="K151">
            <v>2026</v>
          </cell>
          <cell r="L151"/>
          <cell r="M151">
            <v>61.2</v>
          </cell>
        </row>
        <row r="152">
          <cell r="A152" t="str">
            <v>00390113</v>
          </cell>
          <cell r="B152" t="str">
            <v>Pompe à engrenage</v>
          </cell>
          <cell r="C152" t="str">
            <v>F1177600</v>
          </cell>
          <cell r="D152" t="str">
            <v>HERCO</v>
          </cell>
          <cell r="E152" t="str">
            <v>MTEPIOSX</v>
          </cell>
          <cell r="F152" t="str">
            <v>Prix Net</v>
          </cell>
          <cell r="G152">
            <v>997</v>
          </cell>
          <cell r="H152">
            <v>1.02</v>
          </cell>
          <cell r="I152">
            <v>1016.94</v>
          </cell>
          <cell r="J152">
            <v>1271.175</v>
          </cell>
          <cell r="K152">
            <v>2026</v>
          </cell>
          <cell r="L152"/>
          <cell r="M152">
            <v>1452.7714285714287</v>
          </cell>
        </row>
        <row r="153">
          <cell r="A153" t="str">
            <v>00390202</v>
          </cell>
          <cell r="B153" t="str">
            <v>Raccord PJE Victaulic CRN2+CRN4, DN32 SV [HP5500 D/P/H/LC seuls 2000 P/H et -]</v>
          </cell>
          <cell r="C153" t="str">
            <v>F1177600</v>
          </cell>
          <cell r="D153" t="str">
            <v>HERCO</v>
          </cell>
          <cell r="E153" t="str">
            <v>MTEPIOSX</v>
          </cell>
          <cell r="F153" t="str">
            <v>Prix Net</v>
          </cell>
          <cell r="G153">
            <v>57</v>
          </cell>
          <cell r="H153">
            <v>1.02</v>
          </cell>
          <cell r="I153">
            <v>58.14</v>
          </cell>
          <cell r="J153">
            <v>72.674999999999997</v>
          </cell>
          <cell r="K153">
            <v>2026</v>
          </cell>
          <cell r="M153">
            <v>83.057142857142864</v>
          </cell>
        </row>
        <row r="154">
          <cell r="A154" t="str">
            <v>00390242</v>
          </cell>
          <cell r="B154" t="str">
            <v>Jeu de joints pompe OI CRN 3-23 (00390291) &gt; 96455086</v>
          </cell>
          <cell r="C154" t="str">
            <v>F1177600</v>
          </cell>
          <cell r="D154" t="str">
            <v>HERCO</v>
          </cell>
          <cell r="E154" t="str">
            <v>MTEPIOSX</v>
          </cell>
          <cell r="F154" t="str">
            <v>Prix Net</v>
          </cell>
          <cell r="G154">
            <v>303</v>
          </cell>
          <cell r="H154">
            <v>1.02</v>
          </cell>
          <cell r="I154">
            <v>309.06</v>
          </cell>
          <cell r="J154">
            <v>386.32499999999999</v>
          </cell>
          <cell r="K154">
            <v>2026</v>
          </cell>
          <cell r="L154"/>
          <cell r="M154">
            <v>441.51428571428573</v>
          </cell>
        </row>
        <row r="155">
          <cell r="A155" t="str">
            <v>00390291</v>
          </cell>
          <cell r="B155" t="str">
            <v>Pompe CRNE 3-23 HS (P1/P2 osmose)[HP5500 2000 P/H et -] (paramétrage non inclus 88€) &gt; 99050564</v>
          </cell>
          <cell r="C155" t="str">
            <v>F1177600</v>
          </cell>
          <cell r="D155" t="str">
            <v>HERCO</v>
          </cell>
          <cell r="E155" t="str">
            <v>MTEPIOSX</v>
          </cell>
          <cell r="F155" t="str">
            <v>Prix Net</v>
          </cell>
          <cell r="G155">
            <v>6182</v>
          </cell>
          <cell r="H155">
            <v>1.02</v>
          </cell>
          <cell r="I155">
            <v>6305.64</v>
          </cell>
          <cell r="J155">
            <v>7882.05</v>
          </cell>
          <cell r="K155">
            <v>2026</v>
          </cell>
          <cell r="L155"/>
          <cell r="M155">
            <v>9008.0571428571438</v>
          </cell>
        </row>
        <row r="156">
          <cell r="A156" t="str">
            <v>00390378</v>
          </cell>
          <cell r="B156" t="str">
            <v>Jeu de joints pompe OI CRN 10-17 (00390771) &gt; 96511844</v>
          </cell>
          <cell r="C156" t="str">
            <v>F1177600</v>
          </cell>
          <cell r="D156" t="str">
            <v>HERCO</v>
          </cell>
          <cell r="E156" t="str">
            <v>MTEPIOSX</v>
          </cell>
          <cell r="F156" t="str">
            <v>Prix Net</v>
          </cell>
          <cell r="G156">
            <v>505</v>
          </cell>
          <cell r="H156">
            <v>1.02</v>
          </cell>
          <cell r="I156">
            <v>515.1</v>
          </cell>
          <cell r="J156">
            <v>735.85714285714289</v>
          </cell>
          <cell r="K156">
            <v>2026</v>
          </cell>
          <cell r="L156"/>
          <cell r="M156">
            <v>858.50000000000011</v>
          </cell>
        </row>
        <row r="157">
          <cell r="A157" t="str">
            <v>00390539</v>
          </cell>
          <cell r="B157" t="str">
            <v>Pompe centrifuge</v>
          </cell>
          <cell r="C157" t="str">
            <v>F1177600</v>
          </cell>
          <cell r="D157" t="str">
            <v>HERCO</v>
          </cell>
          <cell r="E157" t="str">
            <v>MTEPIOSX</v>
          </cell>
          <cell r="F157" t="str">
            <v>Prix Net</v>
          </cell>
          <cell r="G157">
            <v>2766</v>
          </cell>
          <cell r="H157">
            <v>1.02</v>
          </cell>
          <cell r="I157">
            <v>2821.32</v>
          </cell>
          <cell r="J157">
            <v>3526.65</v>
          </cell>
          <cell r="K157">
            <v>2026</v>
          </cell>
          <cell r="M157">
            <v>4030.4571428571435</v>
          </cell>
        </row>
        <row r="158">
          <cell r="A158" t="str">
            <v>00390560</v>
          </cell>
          <cell r="B158" t="str">
            <v>Pompe CME 3-5 &gt; 98394993</v>
          </cell>
          <cell r="C158" t="str">
            <v>F1177600</v>
          </cell>
          <cell r="D158" t="str">
            <v>HERCO</v>
          </cell>
          <cell r="E158" t="str">
            <v>MTEPIOSX</v>
          </cell>
          <cell r="F158" t="str">
            <v>Prix Net</v>
          </cell>
          <cell r="G158">
            <v>1642</v>
          </cell>
          <cell r="H158">
            <v>1.02</v>
          </cell>
          <cell r="I158">
            <v>1674.84</v>
          </cell>
          <cell r="J158">
            <v>2093.5499999999997</v>
          </cell>
          <cell r="K158">
            <v>2026</v>
          </cell>
          <cell r="L158"/>
          <cell r="M158">
            <v>2392.6285714285714</v>
          </cell>
        </row>
        <row r="159">
          <cell r="A159" t="str">
            <v>00390600</v>
          </cell>
          <cell r="B159" t="str">
            <v>Pompe CM-G 3-4 (P3 circulation eau chaude Hercotherm Ring) &gt; 96806884</v>
          </cell>
          <cell r="C159" t="str">
            <v>F1177600</v>
          </cell>
          <cell r="D159" t="str">
            <v>HERCO</v>
          </cell>
          <cell r="E159" t="str">
            <v>MTEPIOSX</v>
          </cell>
          <cell r="F159" t="str">
            <v>Prix Net</v>
          </cell>
          <cell r="G159">
            <v>705</v>
          </cell>
          <cell r="H159">
            <v>1.02</v>
          </cell>
          <cell r="I159">
            <v>719.1</v>
          </cell>
          <cell r="J159">
            <v>898.875</v>
          </cell>
          <cell r="K159">
            <v>2026</v>
          </cell>
          <cell r="L159"/>
          <cell r="M159">
            <v>1027.2857142857144</v>
          </cell>
        </row>
        <row r="160">
          <cell r="A160" t="str">
            <v>00390654</v>
          </cell>
          <cell r="B160" t="str">
            <v>Pompe CM-G 3-3 (P3 circulation eau chaude Hercotherm Ring pour PF 60Hz) &gt; 97639864</v>
          </cell>
          <cell r="C160" t="str">
            <v>F1177600</v>
          </cell>
          <cell r="D160" t="str">
            <v>HERCO</v>
          </cell>
          <cell r="E160" t="str">
            <v>MTEPIOSX</v>
          </cell>
          <cell r="F160" t="str">
            <v>Prix Net</v>
          </cell>
          <cell r="G160"/>
          <cell r="H160">
            <v>1.02</v>
          </cell>
          <cell r="I160">
            <v>0</v>
          </cell>
          <cell r="J160">
            <v>0</v>
          </cell>
          <cell r="K160"/>
          <cell r="L160"/>
          <cell r="M160">
            <v>0</v>
          </cell>
        </row>
        <row r="161">
          <cell r="A161" t="str">
            <v>00390655</v>
          </cell>
          <cell r="B161" t="str">
            <v>Pompe CM-G 5-3 (P3 circulation eau chaude Hercotherm Ring) [HP5500 ???] =&gt; CM-G 5-4 (00390624)</v>
          </cell>
          <cell r="C161" t="str">
            <v>F1177600</v>
          </cell>
          <cell r="D161" t="str">
            <v>HERCO</v>
          </cell>
          <cell r="E161" t="str">
            <v>MTEPIOSX</v>
          </cell>
          <cell r="F161" t="str">
            <v>Prix Net</v>
          </cell>
          <cell r="G161">
            <v>800</v>
          </cell>
          <cell r="H161">
            <v>1.02</v>
          </cell>
          <cell r="I161">
            <v>816</v>
          </cell>
          <cell r="J161">
            <v>1020</v>
          </cell>
          <cell r="K161">
            <v>2026</v>
          </cell>
          <cell r="L161"/>
          <cell r="M161">
            <v>1165.7142857142858</v>
          </cell>
        </row>
        <row r="162">
          <cell r="A162" t="str">
            <v>00390666</v>
          </cell>
          <cell r="B162" t="str">
            <v>Pompe CRN 3-27 PJE, 2,2 kW (P2 chimique) (remplace 00390730) &gt; 96513459</v>
          </cell>
          <cell r="C162" t="str">
            <v>F1177601</v>
          </cell>
          <cell r="D162" t="str">
            <v>HERCO</v>
          </cell>
          <cell r="E162" t="str">
            <v>MTEPIOSX</v>
          </cell>
          <cell r="F162" t="str">
            <v>Prix Net</v>
          </cell>
          <cell r="G162">
            <v>1952</v>
          </cell>
          <cell r="H162">
            <v>1.02</v>
          </cell>
          <cell r="I162">
            <v>1991.04</v>
          </cell>
          <cell r="J162">
            <v>2488.7999999999997</v>
          </cell>
          <cell r="K162">
            <v>2026</v>
          </cell>
          <cell r="M162">
            <v>2844.3428571428572</v>
          </cell>
        </row>
        <row r="163">
          <cell r="A163" t="str">
            <v>00390665</v>
          </cell>
          <cell r="B163" t="str">
            <v>pompe CRN 3-31 PJE, 3 kW (P2) (remplace 00390247)</v>
          </cell>
          <cell r="C163" t="str">
            <v>F1177602</v>
          </cell>
          <cell r="D163" t="str">
            <v>HERCO</v>
          </cell>
          <cell r="E163" t="str">
            <v>MTEPIOSX</v>
          </cell>
          <cell r="F163" t="str">
            <v>Prix Net</v>
          </cell>
          <cell r="G163">
            <v>2482</v>
          </cell>
          <cell r="H163">
            <v>1.02</v>
          </cell>
          <cell r="I163">
            <v>2531.64</v>
          </cell>
          <cell r="J163">
            <v>3164.5499999999997</v>
          </cell>
          <cell r="K163">
            <v>2026</v>
          </cell>
          <cell r="M163">
            <v>3616.6285714285714</v>
          </cell>
        </row>
        <row r="164">
          <cell r="A164" t="str">
            <v>00390667</v>
          </cell>
          <cell r="B164" t="str">
            <v>Pompe CRN 3-36 PJE, 3 kW (P1 chimique) (remplace 00390222) &gt; 96513463</v>
          </cell>
          <cell r="C164" t="str">
            <v>F1177603</v>
          </cell>
          <cell r="D164" t="str">
            <v>HERCO</v>
          </cell>
          <cell r="E164" t="str">
            <v>MTEPIOSX</v>
          </cell>
          <cell r="F164" t="str">
            <v>Prix Net</v>
          </cell>
          <cell r="G164">
            <v>2876</v>
          </cell>
          <cell r="H164">
            <v>1.02</v>
          </cell>
          <cell r="I164">
            <v>2933.52</v>
          </cell>
          <cell r="J164">
            <v>3666.8999999999996</v>
          </cell>
          <cell r="K164">
            <v>2026</v>
          </cell>
          <cell r="M164">
            <v>4190.7428571428572</v>
          </cell>
        </row>
        <row r="165">
          <cell r="A165" t="str">
            <v>00390771</v>
          </cell>
          <cell r="B165" t="str">
            <v>Pompe CRNE 10-17 (P1/P2 osmose)[HP5500 2500 P/H et +] (paramétrage non inclus) &gt; 99071829</v>
          </cell>
          <cell r="C165" t="str">
            <v>F1177604</v>
          </cell>
          <cell r="D165" t="str">
            <v>HERCO</v>
          </cell>
          <cell r="E165" t="str">
            <v>MTEPIOSX</v>
          </cell>
          <cell r="F165" t="str">
            <v>Prix Net</v>
          </cell>
          <cell r="G165">
            <v>9258</v>
          </cell>
          <cell r="H165">
            <v>1.02</v>
          </cell>
          <cell r="I165">
            <v>9443.16</v>
          </cell>
          <cell r="J165">
            <v>11803.949999999999</v>
          </cell>
          <cell r="K165">
            <v>2026</v>
          </cell>
          <cell r="L165"/>
          <cell r="M165">
            <v>13490.228571428572</v>
          </cell>
        </row>
        <row r="166">
          <cell r="A166" t="str">
            <v>00390788</v>
          </cell>
          <cell r="B166" t="str">
            <v>pompe CRN 5-29 PJE, 4 kW (P2) (remplace 00390290)</v>
          </cell>
          <cell r="C166" t="str">
            <v>F1177605</v>
          </cell>
          <cell r="D166" t="str">
            <v>HERCO</v>
          </cell>
          <cell r="E166" t="str">
            <v>MTEPIOSX</v>
          </cell>
          <cell r="F166" t="str">
            <v>Prix Net</v>
          </cell>
          <cell r="G166">
            <v>2844</v>
          </cell>
          <cell r="H166">
            <v>1.02</v>
          </cell>
          <cell r="I166">
            <v>2900.88</v>
          </cell>
          <cell r="J166">
            <v>3626.1</v>
          </cell>
          <cell r="K166">
            <v>2026</v>
          </cell>
          <cell r="L166"/>
          <cell r="M166">
            <v>4144.1142857142859</v>
          </cell>
        </row>
        <row r="167">
          <cell r="A167" t="str">
            <v>00390837</v>
          </cell>
          <cell r="B167" t="str">
            <v>pompe CRN 5-32 PJE, 5 kW (P1) (remplace 00390335)</v>
          </cell>
          <cell r="C167" t="str">
            <v>F1177606</v>
          </cell>
          <cell r="D167" t="str">
            <v>HERCO</v>
          </cell>
          <cell r="E167" t="str">
            <v>MTEPIOSX</v>
          </cell>
          <cell r="F167" t="str">
            <v>Prix Net</v>
          </cell>
          <cell r="G167">
            <v>3489</v>
          </cell>
          <cell r="H167">
            <v>1.02</v>
          </cell>
          <cell r="I167">
            <v>3558.78</v>
          </cell>
          <cell r="J167">
            <v>4448.4750000000004</v>
          </cell>
          <cell r="K167">
            <v>2026</v>
          </cell>
          <cell r="M167">
            <v>5083.971428571429</v>
          </cell>
        </row>
        <row r="168">
          <cell r="A168" t="str">
            <v>00390838</v>
          </cell>
          <cell r="B168" t="str">
            <v>pompe CRN 15-14 PJE, 11 kW (P1) (remplace 00390352)</v>
          </cell>
          <cell r="C168" t="str">
            <v>F1177607</v>
          </cell>
          <cell r="D168" t="str">
            <v>HERCO</v>
          </cell>
          <cell r="E168" t="str">
            <v>MTEPIOSX</v>
          </cell>
          <cell r="F168" t="str">
            <v>Prix Net</v>
          </cell>
          <cell r="G168">
            <v>5377</v>
          </cell>
          <cell r="H168">
            <v>1.02</v>
          </cell>
          <cell r="I168">
            <v>5484.54</v>
          </cell>
          <cell r="J168">
            <v>6855.6749999999993</v>
          </cell>
          <cell r="K168">
            <v>2026</v>
          </cell>
          <cell r="M168">
            <v>7835.0571428571429</v>
          </cell>
        </row>
        <row r="169">
          <cell r="A169" t="str">
            <v>00390839</v>
          </cell>
          <cell r="B169" t="str">
            <v>pompe CRN 10-18 PJE, 7,5 kW (P2) (remplace 00390344)</v>
          </cell>
          <cell r="C169" t="str">
            <v>F1177608</v>
          </cell>
          <cell r="D169" t="str">
            <v>HERCO</v>
          </cell>
          <cell r="E169" t="str">
            <v>MTEPIOSX</v>
          </cell>
          <cell r="F169" t="str">
            <v>Prix Net</v>
          </cell>
          <cell r="G169">
            <v>3847</v>
          </cell>
          <cell r="H169">
            <v>1.02</v>
          </cell>
          <cell r="I169">
            <v>3923.94</v>
          </cell>
          <cell r="J169">
            <v>4904.9250000000002</v>
          </cell>
          <cell r="K169">
            <v>2026</v>
          </cell>
          <cell r="L169"/>
          <cell r="M169">
            <v>5605.6285714285723</v>
          </cell>
        </row>
        <row r="170">
          <cell r="A170" t="str">
            <v>00395066</v>
          </cell>
          <cell r="B170" t="str">
            <v>Module à membrane 4040 (désinfection chimique) [osmoseur &lt;2017]</v>
          </cell>
          <cell r="C170" t="str">
            <v>F1177600</v>
          </cell>
          <cell r="D170" t="str">
            <v>HERCO</v>
          </cell>
          <cell r="E170" t="str">
            <v>MTEPIOSM</v>
          </cell>
          <cell r="F170"/>
          <cell r="G170">
            <v>629</v>
          </cell>
          <cell r="H170">
            <v>1.02</v>
          </cell>
          <cell r="I170">
            <v>641.58000000000004</v>
          </cell>
          <cell r="J170">
            <v>916.54285714285732</v>
          </cell>
          <cell r="K170">
            <v>2026</v>
          </cell>
          <cell r="L170"/>
          <cell r="M170">
            <v>1069.3000000000002</v>
          </cell>
        </row>
        <row r="171">
          <cell r="A171" t="str">
            <v>00395167</v>
          </cell>
          <cell r="B171" t="str">
            <v>Module à membrane 8040 SanRO-HS2 (désinfection chaleur) [HP5500 2500 P/H et +]</v>
          </cell>
          <cell r="C171" t="str">
            <v>F1177600</v>
          </cell>
          <cell r="D171" t="str">
            <v>HERCO</v>
          </cell>
          <cell r="E171" t="str">
            <v>MTEPIOSM</v>
          </cell>
          <cell r="F171"/>
          <cell r="G171">
            <v>2309</v>
          </cell>
          <cell r="H171">
            <v>1.02</v>
          </cell>
          <cell r="I171">
            <v>2355.1799999999998</v>
          </cell>
          <cell r="J171">
            <v>3364.542857142857</v>
          </cell>
          <cell r="K171">
            <v>2026</v>
          </cell>
          <cell r="M171">
            <v>3925.2999999999997</v>
          </cell>
        </row>
        <row r="172">
          <cell r="A172" t="str">
            <v>00395168</v>
          </cell>
          <cell r="B172" t="str">
            <v>Module à membrane 4040 SanRO-HS2 (désinfection chaleur) [HP5500 2000 P/H et -]</v>
          </cell>
          <cell r="C172" t="str">
            <v>F1177600</v>
          </cell>
          <cell r="D172" t="str">
            <v>HERCO</v>
          </cell>
          <cell r="E172" t="str">
            <v>MTEPIOSM</v>
          </cell>
          <cell r="F172"/>
          <cell r="G172">
            <v>831</v>
          </cell>
          <cell r="H172">
            <v>1.02</v>
          </cell>
          <cell r="I172">
            <v>847.62</v>
          </cell>
          <cell r="J172">
            <v>1210.8857142857144</v>
          </cell>
          <cell r="K172">
            <v>2026</v>
          </cell>
          <cell r="M172">
            <v>1412.7</v>
          </cell>
        </row>
        <row r="173">
          <cell r="A173" t="str">
            <v>00395224</v>
          </cell>
          <cell r="B173" t="str">
            <v>Module à membrane 8040 (désinfection chimique) [HP5500 2500 P/H et +]</v>
          </cell>
          <cell r="C173" t="str">
            <v>F1177600</v>
          </cell>
          <cell r="D173" t="str">
            <v>HERCO</v>
          </cell>
          <cell r="E173" t="str">
            <v>MTEPIOSM</v>
          </cell>
          <cell r="F173"/>
          <cell r="G173">
            <v>1249</v>
          </cell>
          <cell r="H173">
            <v>1.02</v>
          </cell>
          <cell r="I173">
            <v>1273.98</v>
          </cell>
          <cell r="J173">
            <v>1819.9714285714288</v>
          </cell>
          <cell r="K173">
            <v>2026</v>
          </cell>
          <cell r="M173">
            <v>2123.3000000000002</v>
          </cell>
        </row>
        <row r="174">
          <cell r="A174" t="str">
            <v>00395232</v>
          </cell>
          <cell r="B174" t="str">
            <v>Module à membrane 4040 (désinfection chimique) [HP5500D double osmose]</v>
          </cell>
          <cell r="C174" t="str">
            <v>F1177600</v>
          </cell>
          <cell r="D174" t="str">
            <v>HERCO</v>
          </cell>
          <cell r="E174" t="str">
            <v>MTEPIOSM</v>
          </cell>
          <cell r="F174"/>
          <cell r="G174">
            <v>652</v>
          </cell>
          <cell r="H174">
            <v>1.02</v>
          </cell>
          <cell r="I174">
            <v>665.04</v>
          </cell>
          <cell r="J174">
            <v>950.05714285714282</v>
          </cell>
          <cell r="K174">
            <v>2026</v>
          </cell>
          <cell r="L174"/>
          <cell r="M174">
            <v>1108.4000000000001</v>
          </cell>
        </row>
        <row r="175">
          <cell r="A175" t="str">
            <v>00395240</v>
          </cell>
          <cell r="B175" t="str">
            <v>Module à membrane 4040 (désinfection chimique) [HP5500D simple osmose]</v>
          </cell>
          <cell r="C175" t="str">
            <v>F1177600</v>
          </cell>
          <cell r="D175" t="str">
            <v>HERCO</v>
          </cell>
          <cell r="E175" t="str">
            <v>MTEPIOSM</v>
          </cell>
          <cell r="F175"/>
          <cell r="G175">
            <v>629</v>
          </cell>
          <cell r="H175">
            <v>1.02</v>
          </cell>
          <cell r="I175">
            <v>641.58000000000004</v>
          </cell>
          <cell r="J175">
            <v>916.54285714285732</v>
          </cell>
          <cell r="K175">
            <v>2026</v>
          </cell>
          <cell r="L175"/>
          <cell r="M175">
            <v>1069.3000000000002</v>
          </cell>
        </row>
        <row r="176">
          <cell r="A176" t="str">
            <v>00400113</v>
          </cell>
          <cell r="B176" t="str">
            <v>Jeu de joints toriques pour Modules inox 4" [osm. &lt;2017 et HP5500 2000 P/H et -]</v>
          </cell>
          <cell r="C176" t="str">
            <v>F1177600</v>
          </cell>
          <cell r="D176" t="str">
            <v>HERCO</v>
          </cell>
          <cell r="E176" t="str">
            <v>MTEPIOSM</v>
          </cell>
          <cell r="F176"/>
          <cell r="G176">
            <v>20</v>
          </cell>
          <cell r="H176">
            <v>1.02</v>
          </cell>
          <cell r="I176">
            <v>20.399999999999999</v>
          </cell>
          <cell r="J176">
            <v>29.142857142857142</v>
          </cell>
          <cell r="K176">
            <v>2026</v>
          </cell>
          <cell r="L176"/>
          <cell r="M176">
            <v>34</v>
          </cell>
        </row>
        <row r="177">
          <cell r="A177" t="str">
            <v>00400162</v>
          </cell>
          <cell r="B177" t="str">
            <v>Jeu de joints toriques pour Modules inox 8" [HP5500 2500 P/H et +]</v>
          </cell>
          <cell r="C177" t="str">
            <v>F1177600</v>
          </cell>
          <cell r="D177" t="str">
            <v>HERCO</v>
          </cell>
          <cell r="E177" t="str">
            <v>MTEPIOSM</v>
          </cell>
          <cell r="F177"/>
          <cell r="G177">
            <v>69</v>
          </cell>
          <cell r="H177">
            <v>1.02</v>
          </cell>
          <cell r="I177">
            <v>70.38</v>
          </cell>
          <cell r="J177">
            <v>100.54285714285714</v>
          </cell>
          <cell r="K177">
            <v>2026</v>
          </cell>
          <cell r="L177"/>
          <cell r="M177">
            <v>117.3</v>
          </cell>
        </row>
        <row r="178">
          <cell r="A178" t="str">
            <v>00405118</v>
          </cell>
          <cell r="B178" t="str">
            <v>Electrovanne distribution 4V01A/B ("armoires à concentré")</v>
          </cell>
          <cell r="C178" t="str">
            <v>F1177600</v>
          </cell>
          <cell r="D178" t="str">
            <v>HERCO</v>
          </cell>
          <cell r="E178" t="str">
            <v>MTEDVPCE</v>
          </cell>
          <cell r="F178"/>
          <cell r="G178">
            <v>201</v>
          </cell>
          <cell r="H178">
            <v>1.02</v>
          </cell>
          <cell r="I178">
            <v>205.02</v>
          </cell>
          <cell r="J178">
            <v>292.8857142857143</v>
          </cell>
          <cell r="K178">
            <v>2026</v>
          </cell>
          <cell r="L178"/>
          <cell r="M178">
            <v>341.70000000000005</v>
          </cell>
        </row>
        <row r="179">
          <cell r="A179" t="str">
            <v>00405119</v>
          </cell>
          <cell r="B179" t="str">
            <v>Electrovanne PA (production concentré) 4V12</v>
          </cell>
          <cell r="C179" t="str">
            <v>F1177600</v>
          </cell>
          <cell r="D179" t="str">
            <v>HERCO</v>
          </cell>
          <cell r="E179" t="str">
            <v>MTEDVPCE</v>
          </cell>
          <cell r="F179"/>
          <cell r="G179">
            <v>173</v>
          </cell>
          <cell r="H179">
            <v>1.02</v>
          </cell>
          <cell r="I179">
            <v>176.46</v>
          </cell>
          <cell r="J179">
            <v>252.08571428571432</v>
          </cell>
          <cell r="K179">
            <v>2026</v>
          </cell>
          <cell r="L179"/>
          <cell r="M179">
            <v>294.10000000000002</v>
          </cell>
        </row>
        <row r="180">
          <cell r="A180" t="str">
            <v>00405148</v>
          </cell>
          <cell r="B180" t="str">
            <v>Dispositif anti-reflux</v>
          </cell>
          <cell r="C180" t="str">
            <v>F1177600</v>
          </cell>
          <cell r="D180" t="str">
            <v>HERCO</v>
          </cell>
          <cell r="E180" t="str">
            <v>MTEDVPCE</v>
          </cell>
          <cell r="F180"/>
          <cell r="G180">
            <v>93</v>
          </cell>
          <cell r="H180">
            <v>1.02</v>
          </cell>
          <cell r="I180">
            <v>94.86</v>
          </cell>
          <cell r="J180">
            <v>135.51428571428573</v>
          </cell>
          <cell r="K180">
            <v>2026</v>
          </cell>
          <cell r="L180"/>
          <cell r="M180">
            <v>158.1</v>
          </cell>
        </row>
        <row r="181">
          <cell r="A181" t="str">
            <v>00415017</v>
          </cell>
          <cell r="B181" t="str">
            <v>Vanne à pointeau - 1/2" (V07-V13-V17) [osmoseur &lt;2017] (remplacé par 00415085)</v>
          </cell>
          <cell r="C181" t="str">
            <v>F1177600</v>
          </cell>
          <cell r="D181" t="str">
            <v>HERCO</v>
          </cell>
          <cell r="E181" t="str">
            <v>MTEDVPCE</v>
          </cell>
          <cell r="F181"/>
          <cell r="G181">
            <v>117</v>
          </cell>
          <cell r="H181">
            <v>1.02</v>
          </cell>
          <cell r="I181">
            <v>119.34</v>
          </cell>
          <cell r="J181">
            <v>170.48571428571429</v>
          </cell>
          <cell r="K181">
            <v>2026</v>
          </cell>
          <cell r="L181"/>
          <cell r="M181">
            <v>198.9</v>
          </cell>
        </row>
        <row r="182">
          <cell r="A182" t="str">
            <v>00415022</v>
          </cell>
          <cell r="B182" t="str">
            <v>Robinet à boisseau sphérique 3 voies - 1/2" (V11) [2000P/H et -] / (V14) [2500 P/H et +]</v>
          </cell>
          <cell r="C182" t="str">
            <v>F1177600</v>
          </cell>
          <cell r="D182" t="str">
            <v>HERCO</v>
          </cell>
          <cell r="E182" t="str">
            <v>MTEPIOSM</v>
          </cell>
          <cell r="F182"/>
          <cell r="G182">
            <v>136</v>
          </cell>
          <cell r="H182">
            <v>1.02</v>
          </cell>
          <cell r="I182">
            <v>138.72</v>
          </cell>
          <cell r="J182">
            <v>198.17142857142858</v>
          </cell>
          <cell r="K182">
            <v>2026</v>
          </cell>
          <cell r="M182">
            <v>231.20000000000002</v>
          </cell>
        </row>
        <row r="183">
          <cell r="A183" t="str">
            <v>00415026</v>
          </cell>
          <cell r="B183" t="str">
            <v>Robinet à boisseau sphérique 3 voies - 1" (V11) [HP5500 2500 P/H et +]</v>
          </cell>
          <cell r="C183" t="str">
            <v>F1177600</v>
          </cell>
          <cell r="D183" t="str">
            <v>HERCO</v>
          </cell>
          <cell r="E183" t="str">
            <v>MTEPIOSM</v>
          </cell>
          <cell r="F183"/>
          <cell r="G183">
            <v>224</v>
          </cell>
          <cell r="H183">
            <v>1.02</v>
          </cell>
          <cell r="I183">
            <v>228.48000000000002</v>
          </cell>
          <cell r="J183">
            <v>326.40000000000003</v>
          </cell>
          <cell r="K183">
            <v>2026</v>
          </cell>
          <cell r="M183">
            <v>380.80000000000007</v>
          </cell>
        </row>
        <row r="184">
          <cell r="A184" t="str">
            <v>00415049</v>
          </cell>
          <cell r="B184" t="str">
            <v>Robinet à boisseau sphérique DN32 (V10) [HP5500 2000 P/H et -]</v>
          </cell>
          <cell r="C184" t="str">
            <v>F1177600</v>
          </cell>
          <cell r="D184" t="str">
            <v>HERCO</v>
          </cell>
          <cell r="E184" t="str">
            <v>MTEPIOSM</v>
          </cell>
          <cell r="F184"/>
          <cell r="G184">
            <v>86</v>
          </cell>
          <cell r="H184">
            <v>1.02</v>
          </cell>
          <cell r="I184">
            <v>87.72</v>
          </cell>
          <cell r="J184">
            <v>125.31428571428572</v>
          </cell>
          <cell r="K184">
            <v>2026</v>
          </cell>
          <cell r="M184">
            <v>146.20000000000002</v>
          </cell>
        </row>
        <row r="185">
          <cell r="A185" t="str">
            <v>00415050</v>
          </cell>
          <cell r="B185" t="str">
            <v>Robinet à boisseau sphérique DN20 motor. (V05) [osmoseur &lt;2017]</v>
          </cell>
          <cell r="C185" t="str">
            <v>F1177600</v>
          </cell>
          <cell r="D185" t="str">
            <v>HERCO</v>
          </cell>
          <cell r="E185" t="str">
            <v>MTEPIOSM</v>
          </cell>
          <cell r="F185"/>
          <cell r="G185">
            <v>84</v>
          </cell>
          <cell r="H185">
            <v>1.02</v>
          </cell>
          <cell r="I185">
            <v>85.68</v>
          </cell>
          <cell r="J185">
            <v>122.40000000000002</v>
          </cell>
          <cell r="K185">
            <v>2026</v>
          </cell>
          <cell r="L185"/>
          <cell r="M185">
            <v>142.80000000000001</v>
          </cell>
        </row>
        <row r="186">
          <cell r="A186" t="str">
            <v>00415065</v>
          </cell>
          <cell r="B186" t="str">
            <v>Robinet à boisseau sphérique DN50 (V10) [HP5500 2500 P/H et +]</v>
          </cell>
          <cell r="C186" t="str">
            <v>F1177600</v>
          </cell>
          <cell r="D186" t="str">
            <v>HERCO</v>
          </cell>
          <cell r="E186" t="str">
            <v>MTEPIOSM</v>
          </cell>
          <cell r="F186"/>
          <cell r="G186">
            <v>169</v>
          </cell>
          <cell r="H186">
            <v>1.02</v>
          </cell>
          <cell r="I186">
            <v>172.38</v>
          </cell>
          <cell r="J186">
            <v>246.25714285714287</v>
          </cell>
          <cell r="K186">
            <v>2026</v>
          </cell>
          <cell r="M186">
            <v>287.3</v>
          </cell>
        </row>
        <row r="187">
          <cell r="A187" t="str">
            <v>00415077</v>
          </cell>
          <cell r="B187" t="str">
            <v>Clapet anti-retour (RV04) [Hercotherm Ring] [HP5500 2000 P/H et -]</v>
          </cell>
          <cell r="C187" t="str">
            <v>F1177600</v>
          </cell>
          <cell r="D187" t="str">
            <v>HERCO</v>
          </cell>
          <cell r="E187" t="str">
            <v>MTEPIOSM</v>
          </cell>
          <cell r="F187"/>
          <cell r="G187">
            <v>628</v>
          </cell>
          <cell r="H187">
            <v>1.02</v>
          </cell>
          <cell r="I187">
            <v>640.56000000000006</v>
          </cell>
          <cell r="J187">
            <v>915.0857142857144</v>
          </cell>
          <cell r="K187">
            <v>2026</v>
          </cell>
          <cell r="M187">
            <v>1067.6000000000001</v>
          </cell>
        </row>
        <row r="188">
          <cell r="A188" t="str">
            <v>00415081</v>
          </cell>
          <cell r="B188" t="str">
            <v>Electrovanne NC - 1" (V01-V18) [HP5500 2500 P/H et +]</v>
          </cell>
          <cell r="C188" t="str">
            <v>F1177600</v>
          </cell>
          <cell r="D188" t="str">
            <v>HERCO</v>
          </cell>
          <cell r="E188" t="str">
            <v>MTEPIOSM</v>
          </cell>
          <cell r="F188"/>
          <cell r="G188">
            <v>981</v>
          </cell>
          <cell r="H188">
            <v>1.02</v>
          </cell>
          <cell r="I188">
            <v>1000.62</v>
          </cell>
          <cell r="J188">
            <v>1429.457142857143</v>
          </cell>
          <cell r="K188">
            <v>2026</v>
          </cell>
          <cell r="M188">
            <v>1667.7</v>
          </cell>
        </row>
        <row r="189">
          <cell r="A189" t="str">
            <v>00415082</v>
          </cell>
          <cell r="B189" t="str">
            <v>Electrovanne 3/4" action secours NF [osmoseur &lt;2017]</v>
          </cell>
          <cell r="C189" t="str">
            <v>F1177600</v>
          </cell>
          <cell r="D189" t="str">
            <v>HERCO</v>
          </cell>
          <cell r="E189" t="str">
            <v>MTEPIOSX</v>
          </cell>
          <cell r="F189" t="str">
            <v>Prix Net</v>
          </cell>
          <cell r="G189">
            <v>624</v>
          </cell>
          <cell r="H189">
            <v>1.02</v>
          </cell>
          <cell r="I189">
            <v>636.48</v>
          </cell>
          <cell r="J189">
            <v>795.6</v>
          </cell>
          <cell r="K189">
            <v>2026</v>
          </cell>
          <cell r="L189"/>
          <cell r="M189">
            <v>909.25714285714298</v>
          </cell>
        </row>
        <row r="190">
          <cell r="A190" t="str">
            <v>00415085</v>
          </cell>
          <cell r="B190" t="str">
            <v>Vanne à pointeau - 1/2" inox ASP (V07-V13-V17) (remplace 00415017)</v>
          </cell>
          <cell r="C190" t="str">
            <v>F1177601</v>
          </cell>
          <cell r="D190" t="str">
            <v>HERCO</v>
          </cell>
          <cell r="E190" t="str">
            <v>MTEPIOSM</v>
          </cell>
          <cell r="F190"/>
          <cell r="G190">
            <v>130</v>
          </cell>
          <cell r="H190">
            <v>1.02</v>
          </cell>
          <cell r="I190">
            <v>132.6</v>
          </cell>
          <cell r="J190">
            <v>189.42857142857144</v>
          </cell>
          <cell r="K190">
            <v>2026</v>
          </cell>
          <cell r="M190">
            <v>221</v>
          </cell>
        </row>
        <row r="191">
          <cell r="A191" t="str">
            <v>00415084</v>
          </cell>
          <cell r="B191" t="str">
            <v>Vanne à pointeau - 1/4" inox ASP (V15) [HP5500 2000 P/H et -] (remplace 00415054)</v>
          </cell>
          <cell r="C191" t="str">
            <v>F1177602</v>
          </cell>
          <cell r="D191" t="str">
            <v>HERCO</v>
          </cell>
          <cell r="E191" t="str">
            <v>MTEPIOSM</v>
          </cell>
          <cell r="F191"/>
          <cell r="G191">
            <v>114</v>
          </cell>
          <cell r="H191">
            <v>1.02</v>
          </cell>
          <cell r="I191">
            <v>116.28</v>
          </cell>
          <cell r="J191">
            <v>166.11428571428573</v>
          </cell>
          <cell r="K191">
            <v>2026</v>
          </cell>
          <cell r="M191">
            <v>193.8</v>
          </cell>
        </row>
        <row r="192">
          <cell r="A192" t="str">
            <v>00415086</v>
          </cell>
          <cell r="B192" t="str">
            <v>Vanne à pointeau - 3/4" inox ASP (V15-V17) [HP5500 2500 P/H et +] (remplace 00415016)</v>
          </cell>
          <cell r="C192" t="str">
            <v>F1177603</v>
          </cell>
          <cell r="D192" t="str">
            <v>HERCO</v>
          </cell>
          <cell r="E192" t="str">
            <v>MTEPIOSM</v>
          </cell>
          <cell r="F192"/>
          <cell r="G192">
            <v>135</v>
          </cell>
          <cell r="H192">
            <v>1.02</v>
          </cell>
          <cell r="I192">
            <v>137.69999999999999</v>
          </cell>
          <cell r="J192">
            <v>196.71428571428572</v>
          </cell>
          <cell r="K192">
            <v>2026</v>
          </cell>
          <cell r="M192">
            <v>229.5</v>
          </cell>
        </row>
        <row r="193">
          <cell r="A193" t="str">
            <v>00415087</v>
          </cell>
          <cell r="B193" t="str">
            <v>Vanne à pointeau - 1" inox ASP (V07-V13) [HP5500 2500 P/H et +] (remplace 00415056)</v>
          </cell>
          <cell r="C193" t="str">
            <v>F1177604</v>
          </cell>
          <cell r="D193" t="str">
            <v>HERCO</v>
          </cell>
          <cell r="E193" t="str">
            <v>MTEPIOSM</v>
          </cell>
          <cell r="F193"/>
          <cell r="G193">
            <v>253</v>
          </cell>
          <cell r="H193">
            <v>1.02</v>
          </cell>
          <cell r="I193">
            <v>258.06</v>
          </cell>
          <cell r="J193">
            <v>368.6571428571429</v>
          </cell>
          <cell r="K193">
            <v>2026</v>
          </cell>
          <cell r="L193"/>
          <cell r="M193">
            <v>430.1</v>
          </cell>
        </row>
        <row r="194">
          <cell r="A194" t="str">
            <v>00415094</v>
          </cell>
          <cell r="B194" t="str">
            <v>Clapet anti-retour DN25 (RV03) [HP5500 2500 P/H et +]</v>
          </cell>
          <cell r="C194" t="str">
            <v>F1177600</v>
          </cell>
          <cell r="D194" t="str">
            <v>HERCO</v>
          </cell>
          <cell r="E194" t="str">
            <v>MTEPIOSM</v>
          </cell>
          <cell r="F194"/>
          <cell r="G194">
            <v>171</v>
          </cell>
          <cell r="H194">
            <v>1.02</v>
          </cell>
          <cell r="I194">
            <v>174.42000000000002</v>
          </cell>
          <cell r="J194">
            <v>249.17142857142861</v>
          </cell>
          <cell r="K194">
            <v>2026</v>
          </cell>
          <cell r="M194">
            <v>290.70000000000005</v>
          </cell>
        </row>
        <row r="195">
          <cell r="A195" t="str">
            <v>00415096</v>
          </cell>
          <cell r="B195" t="str">
            <v>Soupape de décharge [osmoseur &lt;2017]</v>
          </cell>
          <cell r="C195" t="str">
            <v>F1177600</v>
          </cell>
          <cell r="D195" t="str">
            <v>HERCO</v>
          </cell>
          <cell r="E195" t="str">
            <v>MTEPIOSM</v>
          </cell>
          <cell r="F195"/>
          <cell r="G195">
            <v>995</v>
          </cell>
          <cell r="H195">
            <v>1.02</v>
          </cell>
          <cell r="I195">
            <v>1014.9</v>
          </cell>
          <cell r="J195">
            <v>1449.8571428571429</v>
          </cell>
          <cell r="K195">
            <v>2026</v>
          </cell>
          <cell r="L195"/>
          <cell r="M195">
            <v>1691.5</v>
          </cell>
        </row>
        <row r="196">
          <cell r="A196" t="str">
            <v>00415103</v>
          </cell>
          <cell r="B196" t="str">
            <v>Soupape de décharge et maintien de pression [osmoseur &lt;2017]</v>
          </cell>
          <cell r="C196" t="str">
            <v>F1177600</v>
          </cell>
          <cell r="D196" t="str">
            <v>HERCO</v>
          </cell>
          <cell r="E196" t="str">
            <v>MTEPIOSM</v>
          </cell>
          <cell r="F196"/>
          <cell r="G196">
            <v>626</v>
          </cell>
          <cell r="H196">
            <v>1.02</v>
          </cell>
          <cell r="I196">
            <v>638.52</v>
          </cell>
          <cell r="J196">
            <v>912.17142857142858</v>
          </cell>
          <cell r="K196">
            <v>2026</v>
          </cell>
          <cell r="M196">
            <v>1064.2</v>
          </cell>
        </row>
        <row r="197">
          <cell r="A197" t="str">
            <v>00415104</v>
          </cell>
          <cell r="B197" t="str">
            <v>Electrovanne NC - V4A 1/2" DN20 24VDC (V01, V18, V23) [HP5500 2000 P/H et -]</v>
          </cell>
          <cell r="C197" t="str">
            <v>F1177600</v>
          </cell>
          <cell r="D197" t="str">
            <v>HERCO</v>
          </cell>
          <cell r="E197" t="str">
            <v>MTEPIOSX</v>
          </cell>
          <cell r="F197" t="str">
            <v>Prix Net</v>
          </cell>
          <cell r="G197">
            <v>798</v>
          </cell>
          <cell r="H197">
            <v>1.02</v>
          </cell>
          <cell r="I197">
            <v>813.96</v>
          </cell>
          <cell r="J197">
            <v>1017.45</v>
          </cell>
          <cell r="K197">
            <v>2026</v>
          </cell>
          <cell r="L197"/>
          <cell r="M197">
            <v>1162.8000000000002</v>
          </cell>
        </row>
        <row r="198">
          <cell r="A198" t="str">
            <v>00415107</v>
          </cell>
          <cell r="B198" t="str">
            <v>Electrovanne NC (V18) [osmoseur &lt;2017]</v>
          </cell>
          <cell r="C198" t="str">
            <v>F1177600</v>
          </cell>
          <cell r="D198" t="str">
            <v>HERCO</v>
          </cell>
          <cell r="E198" t="str">
            <v>MTEPIOSM</v>
          </cell>
          <cell r="F198"/>
          <cell r="G198">
            <v>1133</v>
          </cell>
          <cell r="H198">
            <v>1.02</v>
          </cell>
          <cell r="I198">
            <v>1155.6600000000001</v>
          </cell>
          <cell r="J198">
            <v>1650.9428571428573</v>
          </cell>
          <cell r="K198">
            <v>2026</v>
          </cell>
          <cell r="M198">
            <v>1926.1000000000001</v>
          </cell>
        </row>
        <row r="199">
          <cell r="A199" t="str">
            <v>00415113</v>
          </cell>
          <cell r="B199" t="str">
            <v>Electrovanne DN20 action secours NO (V09) [osmoseur &lt;2017]</v>
          </cell>
          <cell r="C199" t="str">
            <v>F1177600</v>
          </cell>
          <cell r="D199" t="str">
            <v>HERCO</v>
          </cell>
          <cell r="E199" t="str">
            <v>MTEPIOSX</v>
          </cell>
          <cell r="F199" t="str">
            <v>Prix Net</v>
          </cell>
          <cell r="G199">
            <v>872</v>
          </cell>
          <cell r="H199">
            <v>1.02</v>
          </cell>
          <cell r="I199">
            <v>889.44</v>
          </cell>
          <cell r="J199">
            <v>1111.8</v>
          </cell>
          <cell r="K199">
            <v>2026</v>
          </cell>
          <cell r="L199"/>
          <cell r="M199">
            <v>1270.6285714285716</v>
          </cell>
        </row>
        <row r="200">
          <cell r="A200" t="str">
            <v>00415122</v>
          </cell>
          <cell r="B200" t="str">
            <v>Clapet anti-retour DN20 (RV01-RV02) [HP5500 1250-2000 P/H]</v>
          </cell>
          <cell r="C200" t="str">
            <v>F1177600</v>
          </cell>
          <cell r="D200" t="str">
            <v>HERCO</v>
          </cell>
          <cell r="E200" t="str">
            <v>MTEPIOSM</v>
          </cell>
          <cell r="F200"/>
          <cell r="G200">
            <v>152</v>
          </cell>
          <cell r="H200">
            <v>1.02</v>
          </cell>
          <cell r="I200">
            <v>155.04</v>
          </cell>
          <cell r="J200">
            <v>221.48571428571429</v>
          </cell>
          <cell r="K200">
            <v>2026</v>
          </cell>
          <cell r="M200">
            <v>258.39999999999998</v>
          </cell>
        </row>
        <row r="201">
          <cell r="A201" t="str">
            <v>00415138</v>
          </cell>
          <cell r="B201" t="str">
            <v>Electrovanne DN 1,5 [osmoseur &lt;2017]</v>
          </cell>
          <cell r="C201" t="str">
            <v>F1177600</v>
          </cell>
          <cell r="D201" t="str">
            <v>HERCO</v>
          </cell>
          <cell r="E201" t="str">
            <v>MTEPIOSM</v>
          </cell>
          <cell r="F201"/>
          <cell r="G201">
            <v>427</v>
          </cell>
          <cell r="H201">
            <v>1.02</v>
          </cell>
          <cell r="I201">
            <v>435.54</v>
          </cell>
          <cell r="J201">
            <v>622.20000000000005</v>
          </cell>
          <cell r="K201">
            <v>2026</v>
          </cell>
          <cell r="L201"/>
          <cell r="M201">
            <v>725.90000000000009</v>
          </cell>
        </row>
        <row r="202">
          <cell r="A202" t="str">
            <v>00415184</v>
          </cell>
          <cell r="B202" t="str">
            <v>Clapet anti-retour DN32 (RV04) [Hercotherm Ring] [HP5500 2500 P/H et +]</v>
          </cell>
          <cell r="C202" t="str">
            <v>F1177600</v>
          </cell>
          <cell r="D202" t="str">
            <v>HERCO</v>
          </cell>
          <cell r="E202" t="str">
            <v>MTEPIOSM</v>
          </cell>
          <cell r="F202"/>
          <cell r="G202">
            <v>495</v>
          </cell>
          <cell r="H202">
            <v>1.02</v>
          </cell>
          <cell r="I202">
            <v>504.90000000000003</v>
          </cell>
          <cell r="J202">
            <v>721.28571428571433</v>
          </cell>
          <cell r="K202">
            <v>2026</v>
          </cell>
          <cell r="M202">
            <v>841.50000000000011</v>
          </cell>
        </row>
        <row r="203">
          <cell r="A203" t="str">
            <v>00415187</v>
          </cell>
          <cell r="B203" t="str">
            <v>Robinet à boisseau sphérique 3 voies - 1" motor. (V03) [HP5500 2500 P/H et +]</v>
          </cell>
          <cell r="C203" t="str">
            <v>F1177600</v>
          </cell>
          <cell r="D203" t="str">
            <v>HERCO</v>
          </cell>
          <cell r="E203" t="str">
            <v>MTEPIOSM</v>
          </cell>
          <cell r="F203"/>
          <cell r="G203">
            <v>777</v>
          </cell>
          <cell r="H203">
            <v>1.02</v>
          </cell>
          <cell r="I203">
            <v>792.54</v>
          </cell>
          <cell r="J203">
            <v>1132.2</v>
          </cell>
          <cell r="K203">
            <v>2026</v>
          </cell>
          <cell r="L203"/>
          <cell r="M203">
            <v>1320.9</v>
          </cell>
        </row>
        <row r="204">
          <cell r="A204" t="str">
            <v>00415206</v>
          </cell>
          <cell r="B204" t="str">
            <v>Prise d'échantillon (Vanne Guest 1/4")</v>
          </cell>
          <cell r="C204" t="str">
            <v>F1177600</v>
          </cell>
          <cell r="D204" t="str">
            <v>HERCO</v>
          </cell>
          <cell r="E204" t="str">
            <v>MTEPIOSM</v>
          </cell>
          <cell r="F204"/>
          <cell r="G204">
            <v>27.3</v>
          </cell>
          <cell r="H204">
            <v>1.02</v>
          </cell>
          <cell r="I204">
            <v>27.846</v>
          </cell>
          <cell r="J204">
            <v>39.78</v>
          </cell>
          <cell r="K204">
            <v>2026</v>
          </cell>
          <cell r="M204">
            <v>46.410000000000004</v>
          </cell>
        </row>
        <row r="205">
          <cell r="A205" t="str">
            <v>00415212</v>
          </cell>
          <cell r="B205" t="str">
            <v>Electrovanne NO - 1/2" (V09, V22) [HP5500 tous modèles]</v>
          </cell>
          <cell r="C205" t="str">
            <v>F1177600</v>
          </cell>
          <cell r="D205" t="str">
            <v>HERCO</v>
          </cell>
          <cell r="E205" t="str">
            <v>MTEPIOSX</v>
          </cell>
          <cell r="F205" t="str">
            <v>Prix Net</v>
          </cell>
          <cell r="G205">
            <v>798</v>
          </cell>
          <cell r="H205">
            <v>1.02</v>
          </cell>
          <cell r="I205">
            <v>813.96</v>
          </cell>
          <cell r="J205">
            <v>1017.45</v>
          </cell>
          <cell r="K205">
            <v>2026</v>
          </cell>
          <cell r="L205"/>
          <cell r="M205">
            <v>1162.8000000000002</v>
          </cell>
        </row>
        <row r="206">
          <cell r="A206" t="str">
            <v>00415221</v>
          </cell>
          <cell r="B206" t="str">
            <v>Robinet à boisseau sphérique 3 voies - 1/2" motor. (V03) [HP5500 2000 P/H et -]</v>
          </cell>
          <cell r="C206" t="str">
            <v>F1177600</v>
          </cell>
          <cell r="D206" t="str">
            <v>HERCO</v>
          </cell>
          <cell r="E206" t="str">
            <v>MTEPIOSM</v>
          </cell>
          <cell r="F206"/>
          <cell r="G206">
            <v>717</v>
          </cell>
          <cell r="H206">
            <v>1.02</v>
          </cell>
          <cell r="I206">
            <v>731.34</v>
          </cell>
          <cell r="J206">
            <v>1044.7714285714287</v>
          </cell>
          <cell r="K206">
            <v>2026</v>
          </cell>
          <cell r="M206">
            <v>1218.9000000000001</v>
          </cell>
        </row>
        <row r="207">
          <cell r="A207" t="str">
            <v>00415222</v>
          </cell>
          <cell r="B207" t="str">
            <v>Vanne de décharge maintien pression DN20 (v.1 DV01+DV03) [HP5500 tous modèles] (remplacé par 00415280)</v>
          </cell>
          <cell r="C207" t="str">
            <v>F1177600</v>
          </cell>
          <cell r="D207" t="str">
            <v>HERCO</v>
          </cell>
          <cell r="E207" t="str">
            <v>MTEPIOSM</v>
          </cell>
          <cell r="F207"/>
          <cell r="G207">
            <v>532</v>
          </cell>
          <cell r="H207">
            <v>1.02</v>
          </cell>
          <cell r="I207">
            <v>542.64</v>
          </cell>
          <cell r="J207">
            <v>775.2</v>
          </cell>
          <cell r="K207">
            <v>2026</v>
          </cell>
          <cell r="L207"/>
          <cell r="M207">
            <v>904.4</v>
          </cell>
        </row>
        <row r="208">
          <cell r="A208" t="str">
            <v>00415223</v>
          </cell>
          <cell r="B208" t="str">
            <v>Clapet anti-retour DN15 (RV01-02-03) [HP5500 2000 P/H et -]</v>
          </cell>
          <cell r="C208" t="str">
            <v>F1177600</v>
          </cell>
          <cell r="D208" t="str">
            <v>HERCO</v>
          </cell>
          <cell r="E208" t="str">
            <v>MTEPIOSM</v>
          </cell>
          <cell r="F208"/>
          <cell r="G208">
            <v>114</v>
          </cell>
          <cell r="H208">
            <v>1.02</v>
          </cell>
          <cell r="I208">
            <v>116.28</v>
          </cell>
          <cell r="J208">
            <v>166.11428571428573</v>
          </cell>
          <cell r="K208">
            <v>2026</v>
          </cell>
          <cell r="M208">
            <v>193.8</v>
          </cell>
        </row>
        <row r="209">
          <cell r="A209" t="str">
            <v>00415224</v>
          </cell>
          <cell r="B209" t="str">
            <v>Soupape décharge maintien pression (DV04) [HP5500]</v>
          </cell>
          <cell r="C209" t="str">
            <v>F1177600</v>
          </cell>
          <cell r="D209" t="str">
            <v>HERCO</v>
          </cell>
          <cell r="E209" t="str">
            <v>MTEPIOSM</v>
          </cell>
          <cell r="F209"/>
          <cell r="G209">
            <v>478</v>
          </cell>
          <cell r="H209">
            <v>1.02</v>
          </cell>
          <cell r="I209">
            <v>487.56</v>
          </cell>
          <cell r="J209">
            <v>696.51428571428573</v>
          </cell>
          <cell r="K209">
            <v>2026</v>
          </cell>
          <cell r="L209"/>
          <cell r="M209">
            <v>812.6</v>
          </cell>
        </row>
        <row r="210">
          <cell r="A210" t="str">
            <v>00415226</v>
          </cell>
          <cell r="B210" t="str">
            <v>Robinet à boisseau sphérique 3 voies - 1/4" (V14) [HP5500 2000 P/H et -]</v>
          </cell>
          <cell r="C210" t="str">
            <v>F1177600</v>
          </cell>
          <cell r="D210" t="str">
            <v>HERCO</v>
          </cell>
          <cell r="E210" t="str">
            <v>MTEPIOSM</v>
          </cell>
          <cell r="F210"/>
          <cell r="G210">
            <v>110</v>
          </cell>
          <cell r="H210">
            <v>1.02</v>
          </cell>
          <cell r="I210">
            <v>112.2</v>
          </cell>
          <cell r="J210">
            <v>160.28571428571431</v>
          </cell>
          <cell r="K210">
            <v>2026</v>
          </cell>
          <cell r="M210">
            <v>187</v>
          </cell>
        </row>
        <row r="211">
          <cell r="A211" t="str">
            <v>00415244</v>
          </cell>
          <cell r="B211" t="str">
            <v>Vanne JG Limitron [n°1]</v>
          </cell>
          <cell r="C211" t="str">
            <v>F1177600</v>
          </cell>
          <cell r="D211" t="str">
            <v>HERCO</v>
          </cell>
          <cell r="E211" t="str">
            <v>MTEPIPRE</v>
          </cell>
          <cell r="F211"/>
          <cell r="G211">
            <v>17</v>
          </cell>
          <cell r="H211">
            <v>1.02</v>
          </cell>
          <cell r="I211">
            <v>17.34</v>
          </cell>
          <cell r="J211">
            <v>24.771428571428572</v>
          </cell>
          <cell r="K211">
            <v>2026</v>
          </cell>
          <cell r="L211"/>
          <cell r="M211">
            <v>28.900000000000002</v>
          </cell>
        </row>
        <row r="212">
          <cell r="A212" t="str">
            <v>00415245</v>
          </cell>
          <cell r="B212" t="str">
            <v>Prise d'échantillon osmoseur (V19-V20)</v>
          </cell>
          <cell r="C212" t="str">
            <v>F1177600</v>
          </cell>
          <cell r="D212" t="str">
            <v>HERCO</v>
          </cell>
          <cell r="E212" t="str">
            <v>MTEPIOSM</v>
          </cell>
          <cell r="F212"/>
          <cell r="G212">
            <v>200</v>
          </cell>
          <cell r="H212">
            <v>1.02</v>
          </cell>
          <cell r="I212">
            <v>204</v>
          </cell>
          <cell r="J212">
            <v>291.42857142857144</v>
          </cell>
          <cell r="K212">
            <v>2026</v>
          </cell>
          <cell r="L212"/>
          <cell r="M212">
            <v>340</v>
          </cell>
        </row>
        <row r="213">
          <cell r="A213" t="str">
            <v>00415272</v>
          </cell>
          <cell r="B213" t="str">
            <v>Electrovanne NO - DN25 24 VDC (V22) [Hercotherm Ring]</v>
          </cell>
          <cell r="C213" t="str">
            <v>F1177601</v>
          </cell>
          <cell r="D213" t="str">
            <v>HERCO</v>
          </cell>
          <cell r="E213" t="str">
            <v>MTEPIOSM</v>
          </cell>
          <cell r="F213"/>
          <cell r="G213">
            <v>1045</v>
          </cell>
          <cell r="H213">
            <v>1.02</v>
          </cell>
          <cell r="I213">
            <v>1065.9000000000001</v>
          </cell>
          <cell r="J213">
            <v>1522.714285714286</v>
          </cell>
          <cell r="K213">
            <v>2026</v>
          </cell>
          <cell r="L213"/>
          <cell r="M213">
            <v>1776.5000000000002</v>
          </cell>
        </row>
        <row r="214">
          <cell r="A214" t="str">
            <v>00415280</v>
          </cell>
          <cell r="B214" t="str">
            <v>Vanne de décharge et maintien de pression DN15 (v.2 DV01+DV02+DV03) [HP5500 2000 P/H et -] (remplace 00415222+00415261)</v>
          </cell>
          <cell r="C214" t="str">
            <v>F1177601</v>
          </cell>
          <cell r="D214" t="str">
            <v>HERCO</v>
          </cell>
          <cell r="E214" t="str">
            <v>MTEPIOSM</v>
          </cell>
          <cell r="F214"/>
          <cell r="G214">
            <v>570</v>
          </cell>
          <cell r="H214">
            <v>1.02</v>
          </cell>
          <cell r="I214">
            <v>581.4</v>
          </cell>
          <cell r="J214">
            <v>830.57142857142856</v>
          </cell>
          <cell r="K214">
            <v>2026</v>
          </cell>
          <cell r="M214">
            <v>969</v>
          </cell>
        </row>
        <row r="215">
          <cell r="A215" t="str">
            <v>00415281</v>
          </cell>
          <cell r="B215" t="str">
            <v>Vanne de décharge et maintien de pression DN20 (DV01+DV02) [HP5500 2500 P/H et +] (remplace 00415246+00415260)</v>
          </cell>
          <cell r="C215" t="str">
            <v>F1177602</v>
          </cell>
          <cell r="D215" t="str">
            <v>HERCO</v>
          </cell>
          <cell r="E215" t="str">
            <v>MTEPIOSM</v>
          </cell>
          <cell r="F215"/>
          <cell r="G215">
            <v>657</v>
          </cell>
          <cell r="H215">
            <v>1.02</v>
          </cell>
          <cell r="I215">
            <v>670.14</v>
          </cell>
          <cell r="J215">
            <v>957.34285714285716</v>
          </cell>
          <cell r="K215">
            <v>2026</v>
          </cell>
          <cell r="L215"/>
          <cell r="M215">
            <v>1116.9000000000001</v>
          </cell>
        </row>
        <row r="216">
          <cell r="A216" t="str">
            <v>00415284</v>
          </cell>
          <cell r="B216" t="str">
            <v>Vanne de décharge et maintien de pression DN15 (v.3 DV01+DV03) [HP5500 2000 P/H et -] (remplace 00415280 à partir 08/2020)</v>
          </cell>
          <cell r="C216" t="str">
            <v>F1177601</v>
          </cell>
          <cell r="D216" t="str">
            <v>HERCO</v>
          </cell>
          <cell r="E216" t="str">
            <v>MTEPIOSM</v>
          </cell>
          <cell r="F216"/>
          <cell r="G216">
            <v>570</v>
          </cell>
          <cell r="H216">
            <v>1.02</v>
          </cell>
          <cell r="I216">
            <v>581.4</v>
          </cell>
          <cell r="J216">
            <v>830.57142857142856</v>
          </cell>
          <cell r="K216">
            <v>2026</v>
          </cell>
          <cell r="L216"/>
          <cell r="M216">
            <v>969</v>
          </cell>
        </row>
        <row r="217">
          <cell r="A217" t="str">
            <v>00430474</v>
          </cell>
          <cell r="B217" t="str">
            <v>Réservoir sous pression à membrane</v>
          </cell>
          <cell r="C217" t="str">
            <v>F1177600</v>
          </cell>
          <cell r="D217" t="str">
            <v>HERCO</v>
          </cell>
          <cell r="E217" t="str">
            <v>MTEPIOSM</v>
          </cell>
          <cell r="F217"/>
          <cell r="G217">
            <v>371</v>
          </cell>
          <cell r="H217">
            <v>1.02</v>
          </cell>
          <cell r="I217">
            <v>378.42</v>
          </cell>
          <cell r="J217">
            <v>540.6</v>
          </cell>
          <cell r="K217">
            <v>2026</v>
          </cell>
          <cell r="M217">
            <v>630.70000000000005</v>
          </cell>
        </row>
        <row r="218">
          <cell r="A218" t="str">
            <v>00435002</v>
          </cell>
          <cell r="B218" t="str">
            <v>Vanne d'alimentation secondaire à flotteur 0V051</v>
          </cell>
          <cell r="C218" t="str">
            <v>F1177600</v>
          </cell>
          <cell r="D218" t="str">
            <v>HERCO</v>
          </cell>
          <cell r="E218" t="str">
            <v>MTEPIOSM</v>
          </cell>
          <cell r="F218"/>
          <cell r="G218">
            <v>349</v>
          </cell>
          <cell r="H218">
            <v>1.02</v>
          </cell>
          <cell r="I218">
            <v>355.98</v>
          </cell>
          <cell r="J218">
            <v>508.5428571428572</v>
          </cell>
          <cell r="K218">
            <v>2025</v>
          </cell>
          <cell r="M218">
            <v>593.30000000000007</v>
          </cell>
        </row>
        <row r="219">
          <cell r="A219" t="str">
            <v>00435038</v>
          </cell>
          <cell r="B219" t="str">
            <v>Interrupteur à flotteur</v>
          </cell>
          <cell r="C219" t="str">
            <v>F1177600</v>
          </cell>
          <cell r="D219" t="str">
            <v>HERCO</v>
          </cell>
          <cell r="E219" t="str">
            <v>MTEPIOSM</v>
          </cell>
          <cell r="F219"/>
          <cell r="G219">
            <v>130</v>
          </cell>
          <cell r="H219">
            <v>1.02</v>
          </cell>
          <cell r="I219">
            <v>132.6</v>
          </cell>
          <cell r="J219">
            <v>189.42857142857144</v>
          </cell>
          <cell r="K219">
            <v>2026</v>
          </cell>
          <cell r="M219">
            <v>221</v>
          </cell>
        </row>
        <row r="220">
          <cell r="A220" t="str">
            <v>00435054</v>
          </cell>
          <cell r="B220" t="str">
            <v>Flotteur magnétique</v>
          </cell>
          <cell r="C220" t="str">
            <v>F1177600</v>
          </cell>
          <cell r="D220" t="str">
            <v>HERCO</v>
          </cell>
          <cell r="E220" t="str">
            <v>MTEPIOSM</v>
          </cell>
          <cell r="F220"/>
          <cell r="G220">
            <v>43.7</v>
          </cell>
          <cell r="H220">
            <v>1.02</v>
          </cell>
          <cell r="I220">
            <v>44.574000000000005</v>
          </cell>
          <cell r="J220">
            <v>63.677142857142869</v>
          </cell>
          <cell r="K220">
            <v>2026</v>
          </cell>
          <cell r="L220"/>
          <cell r="M220">
            <v>74.290000000000006</v>
          </cell>
        </row>
        <row r="221">
          <cell r="A221" t="str">
            <v>00435062</v>
          </cell>
          <cell r="B221" t="str">
            <v>Capteur température PT100 1/4'' (T11/T12) [HP5500] (T04/T05) [Hercotherm Ring]</v>
          </cell>
          <cell r="C221" t="str">
            <v>F1177600</v>
          </cell>
          <cell r="D221" t="str">
            <v>HERCO</v>
          </cell>
          <cell r="E221" t="str">
            <v>MTEPIOSM</v>
          </cell>
          <cell r="F221"/>
          <cell r="G221">
            <v>243</v>
          </cell>
          <cell r="H221">
            <v>1.02</v>
          </cell>
          <cell r="I221">
            <v>247.86</v>
          </cell>
          <cell r="J221">
            <v>354.08571428571435</v>
          </cell>
          <cell r="K221">
            <v>2026</v>
          </cell>
          <cell r="M221">
            <v>413.1</v>
          </cell>
        </row>
        <row r="222">
          <cell r="A222" t="str">
            <v>00435063</v>
          </cell>
          <cell r="B222" t="str">
            <v>Thermostat iTRON08 [osmoseur &lt;2017]</v>
          </cell>
          <cell r="C222" t="str">
            <v>F1177600</v>
          </cell>
          <cell r="D222" t="str">
            <v>HERCO</v>
          </cell>
          <cell r="E222" t="str">
            <v>MTEPIOSM</v>
          </cell>
          <cell r="F222"/>
          <cell r="G222">
            <v>532</v>
          </cell>
          <cell r="H222">
            <v>1.02</v>
          </cell>
          <cell r="I222">
            <v>542.64</v>
          </cell>
          <cell r="J222">
            <v>775.2</v>
          </cell>
          <cell r="K222">
            <v>2026</v>
          </cell>
          <cell r="M222">
            <v>904.4</v>
          </cell>
        </row>
        <row r="223">
          <cell r="A223" t="str">
            <v>00453342</v>
          </cell>
          <cell r="B223" t="str">
            <v>Agitateur</v>
          </cell>
          <cell r="C223" t="str">
            <v>F1177600</v>
          </cell>
          <cell r="D223" t="str">
            <v>HERCO</v>
          </cell>
          <cell r="E223" t="str">
            <v>MTEPIOSM</v>
          </cell>
          <cell r="F223"/>
          <cell r="G223">
            <v>784</v>
          </cell>
          <cell r="H223">
            <v>1.02</v>
          </cell>
          <cell r="I223">
            <v>799.68000000000006</v>
          </cell>
          <cell r="J223">
            <v>1142.4000000000001</v>
          </cell>
          <cell r="K223">
            <v>2026</v>
          </cell>
          <cell r="M223">
            <v>1332.8000000000002</v>
          </cell>
        </row>
        <row r="224">
          <cell r="A224" t="str">
            <v>00465347</v>
          </cell>
          <cell r="B224" t="str">
            <v>Résistance chauffante 3kW (W1/W2/W12) [Hercotherm] (voir 00640057 ou 00640058)</v>
          </cell>
          <cell r="C224" t="str">
            <v>F1177600</v>
          </cell>
          <cell r="D224" t="str">
            <v>HERCO</v>
          </cell>
          <cell r="E224" t="str">
            <v>MTEPIOSM</v>
          </cell>
          <cell r="F224"/>
          <cell r="G224">
            <v>749</v>
          </cell>
          <cell r="H224">
            <v>1.02</v>
          </cell>
          <cell r="I224">
            <v>763.98</v>
          </cell>
          <cell r="J224">
            <v>1091.4000000000001</v>
          </cell>
          <cell r="K224">
            <v>2026</v>
          </cell>
          <cell r="L224"/>
          <cell r="M224">
            <v>1273.3000000000002</v>
          </cell>
        </row>
        <row r="225">
          <cell r="A225" t="str">
            <v>00465803</v>
          </cell>
          <cell r="B225" t="str">
            <v>Double raccordement "sans bras mort" [osmoseur &lt;2017]</v>
          </cell>
          <cell r="C225" t="str">
            <v>F1177600</v>
          </cell>
          <cell r="D225" t="str">
            <v>HERCO</v>
          </cell>
          <cell r="E225" t="str">
            <v>MTEPIOSM</v>
          </cell>
          <cell r="F225"/>
          <cell r="G225">
            <v>731</v>
          </cell>
          <cell r="H225">
            <v>1.02</v>
          </cell>
          <cell r="I225">
            <v>745.62</v>
          </cell>
          <cell r="J225">
            <v>1065.1714285714286</v>
          </cell>
          <cell r="K225">
            <v>2026</v>
          </cell>
          <cell r="M225">
            <v>1242.7</v>
          </cell>
        </row>
        <row r="226">
          <cell r="A226" t="str">
            <v>00466007</v>
          </cell>
          <cell r="B226" t="str">
            <v>Prise d'échantillon externe HP5500D 4"-1" femelle/mâle (V19-V20)</v>
          </cell>
          <cell r="C226" t="str">
            <v>F1177600</v>
          </cell>
          <cell r="D226" t="str">
            <v>HERCO</v>
          </cell>
          <cell r="E226" t="str">
            <v>MTEPIOSM</v>
          </cell>
          <cell r="F226"/>
          <cell r="G226">
            <v>304</v>
          </cell>
          <cell r="H226">
            <v>1.02</v>
          </cell>
          <cell r="I226">
            <v>310.08</v>
          </cell>
          <cell r="J226">
            <v>442.97142857142859</v>
          </cell>
          <cell r="K226">
            <v>2026</v>
          </cell>
          <cell r="M226">
            <v>516.79999999999995</v>
          </cell>
        </row>
        <row r="227">
          <cell r="A227" t="str">
            <v>00466020</v>
          </cell>
          <cell r="B227" t="str">
            <v>Résistance intermédiaire 3kW HP5500D complète (embouts PEX soudés)</v>
          </cell>
          <cell r="C227" t="str">
            <v>F1177600</v>
          </cell>
          <cell r="D227" t="str">
            <v>HERCO</v>
          </cell>
          <cell r="E227" t="str">
            <v>MTEPIQRE</v>
          </cell>
          <cell r="F227"/>
          <cell r="G227">
            <v>1735</v>
          </cell>
          <cell r="H227">
            <v>1.02</v>
          </cell>
          <cell r="I227">
            <v>1769.7</v>
          </cell>
          <cell r="J227">
            <v>2528.1428571428573</v>
          </cell>
          <cell r="K227">
            <v>2026</v>
          </cell>
          <cell r="M227">
            <v>2949.5</v>
          </cell>
        </row>
        <row r="228">
          <cell r="A228" t="str">
            <v>00466021</v>
          </cell>
          <cell r="B228" t="str">
            <v>Résistance intermédiaire "externe" 3kW HP5500D (embouts PEX soudés)</v>
          </cell>
          <cell r="C228" t="str">
            <v>F1177600</v>
          </cell>
          <cell r="D228" t="str">
            <v>HERCO</v>
          </cell>
          <cell r="E228" t="str">
            <v>MTEPIQRE</v>
          </cell>
          <cell r="F228"/>
          <cell r="G228">
            <v>2427</v>
          </cell>
          <cell r="H228">
            <v>1.02</v>
          </cell>
          <cell r="I228">
            <v>2475.54</v>
          </cell>
          <cell r="J228">
            <v>3536.4857142857145</v>
          </cell>
          <cell r="K228">
            <v>2026</v>
          </cell>
          <cell r="M228">
            <v>4125.9000000000005</v>
          </cell>
        </row>
        <row r="229">
          <cell r="A229" t="str">
            <v>00466025</v>
          </cell>
          <cell r="B229" t="str">
            <v>Résistance intermédiaire 3kW HP5500D /Pce de rechange seule (embouts PEX soudés)</v>
          </cell>
          <cell r="C229" t="str">
            <v>F1177600</v>
          </cell>
          <cell r="D229" t="str">
            <v>HERCO</v>
          </cell>
          <cell r="E229" t="str">
            <v>MTEPIQRE</v>
          </cell>
          <cell r="F229"/>
          <cell r="G229">
            <v>1484</v>
          </cell>
          <cell r="H229">
            <v>1.02</v>
          </cell>
          <cell r="I229">
            <v>1513.68</v>
          </cell>
          <cell r="J229">
            <v>2162.4</v>
          </cell>
          <cell r="K229">
            <v>2026</v>
          </cell>
          <cell r="L229">
            <v>25</v>
          </cell>
          <cell r="M229">
            <v>2522.8000000000002</v>
          </cell>
        </row>
        <row r="230">
          <cell r="A230" t="str">
            <v>00466039</v>
          </cell>
          <cell r="B230" t="str">
            <v>Raccord inox (x2) HP5500D 1'' femelle (E/S osm. +répart.) [HP5500 2000 P/H et -]</v>
          </cell>
          <cell r="C230" t="str">
            <v>F1177600</v>
          </cell>
          <cell r="D230" t="str">
            <v>HERCO</v>
          </cell>
          <cell r="E230" t="str">
            <v>MTEPIOSM</v>
          </cell>
          <cell r="F230"/>
          <cell r="G230">
            <v>181</v>
          </cell>
          <cell r="H230">
            <v>1.02</v>
          </cell>
          <cell r="I230">
            <v>184.62</v>
          </cell>
          <cell r="J230">
            <v>263.74285714285719</v>
          </cell>
          <cell r="K230">
            <v>2026</v>
          </cell>
          <cell r="L230">
            <v>25</v>
          </cell>
          <cell r="M230">
            <v>307.70000000000005</v>
          </cell>
        </row>
        <row r="231">
          <cell r="A231" t="str">
            <v>00467057</v>
          </cell>
          <cell r="B231" t="str">
            <v>Répartiteur de boucles [HP5500 1000L/h et -]</v>
          </cell>
          <cell r="C231" t="str">
            <v>F1177600</v>
          </cell>
          <cell r="D231" t="str">
            <v>HERCO</v>
          </cell>
          <cell r="E231" t="str">
            <v>MTEPIQRE</v>
          </cell>
          <cell r="F231"/>
          <cell r="G231">
            <v>3587</v>
          </cell>
          <cell r="H231">
            <v>1.02</v>
          </cell>
          <cell r="I231">
            <v>3658.7400000000002</v>
          </cell>
          <cell r="J231">
            <v>5226.7714285714292</v>
          </cell>
          <cell r="K231">
            <v>2026</v>
          </cell>
          <cell r="L231">
            <v>25</v>
          </cell>
          <cell r="M231">
            <v>6097.9000000000005</v>
          </cell>
        </row>
        <row r="232">
          <cell r="A232" t="str">
            <v>00530055</v>
          </cell>
          <cell r="B232" t="str">
            <v>Produit de conservation pour osmoseur (bidon 20L)</v>
          </cell>
          <cell r="C232" t="str">
            <v>F1177600</v>
          </cell>
          <cell r="D232" t="str">
            <v>HERCO</v>
          </cell>
          <cell r="E232" t="str">
            <v>MTETTCOZ</v>
          </cell>
          <cell r="F232"/>
          <cell r="G232">
            <v>101</v>
          </cell>
          <cell r="H232">
            <v>1.3</v>
          </cell>
          <cell r="I232">
            <v>131.30000000000001</v>
          </cell>
          <cell r="J232">
            <v>187.57142857142861</v>
          </cell>
          <cell r="K232">
            <v>2026</v>
          </cell>
          <cell r="M232">
            <v>218.83333333333337</v>
          </cell>
        </row>
        <row r="233">
          <cell r="A233" t="str">
            <v>00530059</v>
          </cell>
          <cell r="B233" t="str">
            <v>Gravier de quartz 3,15-5,6 mm (au kg, par sac de 25kg)</v>
          </cell>
          <cell r="C233" t="str">
            <v>F1177600</v>
          </cell>
          <cell r="D233" t="str">
            <v>HERCO</v>
          </cell>
          <cell r="E233" t="str">
            <v>MTEDVCON</v>
          </cell>
          <cell r="F233"/>
          <cell r="G233">
            <v>1.4</v>
          </cell>
          <cell r="H233">
            <v>1.02</v>
          </cell>
          <cell r="I233">
            <v>1.4279999999999999</v>
          </cell>
          <cell r="J233">
            <v>2.04</v>
          </cell>
          <cell r="K233">
            <v>2026</v>
          </cell>
          <cell r="L233">
            <v>25</v>
          </cell>
          <cell r="M233">
            <v>2.38</v>
          </cell>
        </row>
        <row r="234">
          <cell r="A234" t="str">
            <v>00530094</v>
          </cell>
          <cell r="B234" t="str">
            <v>Sable fin 1,0-2,0 (au kg, par sac de 25kg)</v>
          </cell>
          <cell r="C234" t="str">
            <v>F1177600</v>
          </cell>
          <cell r="D234" t="str">
            <v>HERCO</v>
          </cell>
          <cell r="E234" t="str">
            <v>MTEDVCON</v>
          </cell>
          <cell r="F234"/>
          <cell r="G234">
            <v>1.05</v>
          </cell>
          <cell r="H234">
            <v>1.02</v>
          </cell>
          <cell r="I234">
            <v>1.0710000000000002</v>
          </cell>
          <cell r="J234">
            <v>1.5300000000000002</v>
          </cell>
          <cell r="K234">
            <v>2026</v>
          </cell>
          <cell r="L234">
            <v>25</v>
          </cell>
          <cell r="M234">
            <v>1.7850000000000004</v>
          </cell>
        </row>
        <row r="235">
          <cell r="A235" t="str">
            <v>00530192</v>
          </cell>
          <cell r="B235" t="str">
            <v>Charbon actif 607C (au kg, par sac de 25kg)</v>
          </cell>
          <cell r="C235" t="str">
            <v>F1177600</v>
          </cell>
          <cell r="D235" t="str">
            <v>HERCO</v>
          </cell>
          <cell r="E235" t="str">
            <v>MTEDVCON</v>
          </cell>
          <cell r="F235"/>
          <cell r="G235">
            <v>9.1</v>
          </cell>
          <cell r="H235">
            <v>1.02</v>
          </cell>
          <cell r="I235">
            <v>9.282</v>
          </cell>
          <cell r="J235">
            <v>13.260000000000002</v>
          </cell>
          <cell r="K235">
            <v>2026</v>
          </cell>
          <cell r="L235">
            <v>25</v>
          </cell>
          <cell r="M235">
            <v>15.47</v>
          </cell>
        </row>
        <row r="236">
          <cell r="A236" t="str">
            <v>00540083</v>
          </cell>
          <cell r="B236" t="str">
            <v>Contact auxiliaire NHI11 2 contacts 1 N/F + 1 N/O (relais des contacteurs 1Q/2Q)</v>
          </cell>
          <cell r="C236" t="str">
            <v>F1177600</v>
          </cell>
          <cell r="D236" t="str">
            <v>HERCO</v>
          </cell>
          <cell r="E236" t="str">
            <v>MTEPIOSM</v>
          </cell>
          <cell r="F236"/>
          <cell r="G236">
            <v>24</v>
          </cell>
          <cell r="H236">
            <v>1.02</v>
          </cell>
          <cell r="I236">
            <v>24.48</v>
          </cell>
          <cell r="J236">
            <v>34.971428571428575</v>
          </cell>
          <cell r="K236" t="str">
            <v>07/2023</v>
          </cell>
          <cell r="L236"/>
          <cell r="M236">
            <v>40.800000000000004</v>
          </cell>
        </row>
        <row r="237">
          <cell r="A237" t="str">
            <v>00540089</v>
          </cell>
          <cell r="B237" t="str">
            <v>Disjoncteur protecteur 1-1,6A</v>
          </cell>
          <cell r="C237" t="str">
            <v>F1177600</v>
          </cell>
          <cell r="D237" t="str">
            <v>HERCO</v>
          </cell>
          <cell r="E237" t="str">
            <v>MTEPIOSX</v>
          </cell>
          <cell r="F237" t="str">
            <v>Prix Net</v>
          </cell>
          <cell r="G237">
            <v>87</v>
          </cell>
          <cell r="H237">
            <v>1.02</v>
          </cell>
          <cell r="I237">
            <v>88.74</v>
          </cell>
          <cell r="J237">
            <v>110.92499999999998</v>
          </cell>
          <cell r="K237">
            <v>2026</v>
          </cell>
          <cell r="L237"/>
          <cell r="M237">
            <v>126.77142857142857</v>
          </cell>
        </row>
        <row r="238">
          <cell r="A238" t="str">
            <v>00540092</v>
          </cell>
          <cell r="B238" t="str">
            <v>Disjoncteur protecteur 4-6,3A (osm. chimique)</v>
          </cell>
          <cell r="C238" t="str">
            <v>F1177600</v>
          </cell>
          <cell r="D238" t="str">
            <v>HERCO</v>
          </cell>
          <cell r="E238" t="str">
            <v>MTEPIOSX</v>
          </cell>
          <cell r="F238" t="str">
            <v>Prix Net</v>
          </cell>
          <cell r="G238">
            <v>103</v>
          </cell>
          <cell r="H238">
            <v>1.02</v>
          </cell>
          <cell r="I238">
            <v>105.06</v>
          </cell>
          <cell r="J238">
            <v>131.32499999999999</v>
          </cell>
          <cell r="K238">
            <v>2026</v>
          </cell>
          <cell r="M238">
            <v>150.08571428571429</v>
          </cell>
        </row>
        <row r="239">
          <cell r="A239" t="str">
            <v>00540093</v>
          </cell>
          <cell r="B239" t="str">
            <v>Disjoncteur protecteur 6-10A</v>
          </cell>
          <cell r="C239" t="str">
            <v>F1177600</v>
          </cell>
          <cell r="D239" t="str">
            <v>HERCO</v>
          </cell>
          <cell r="E239" t="str">
            <v>MTEPIOSX</v>
          </cell>
          <cell r="F239" t="str">
            <v>Prix Net</v>
          </cell>
          <cell r="G239">
            <v>162</v>
          </cell>
          <cell r="H239">
            <v>1.02</v>
          </cell>
          <cell r="I239">
            <v>165.24</v>
          </cell>
          <cell r="J239">
            <v>206.55</v>
          </cell>
          <cell r="K239">
            <v>2026</v>
          </cell>
          <cell r="M239">
            <v>236.05714285714288</v>
          </cell>
        </row>
        <row r="240">
          <cell r="A240" t="str">
            <v>00540094</v>
          </cell>
          <cell r="B240" t="str">
            <v>Disjoncteur protecteur 10-16A (osm. chaleur)</v>
          </cell>
          <cell r="C240" t="str">
            <v>F1177600</v>
          </cell>
          <cell r="D240" t="str">
            <v>HERCO</v>
          </cell>
          <cell r="E240" t="str">
            <v>MTEPIOSX</v>
          </cell>
          <cell r="F240" t="str">
            <v>Prix Net</v>
          </cell>
          <cell r="G240">
            <v>139</v>
          </cell>
          <cell r="H240">
            <v>1.02</v>
          </cell>
          <cell r="I240">
            <v>141.78</v>
          </cell>
          <cell r="J240">
            <v>177.22499999999999</v>
          </cell>
          <cell r="K240">
            <v>2026</v>
          </cell>
          <cell r="L240"/>
          <cell r="M240">
            <v>202.54285714285714</v>
          </cell>
        </row>
        <row r="241">
          <cell r="A241" t="str">
            <v>00540144</v>
          </cell>
          <cell r="B241" t="str">
            <v>Bouton interrupteur principal 63A / 30kW 3pol (coffret électrique Hercotherm)</v>
          </cell>
          <cell r="C241" t="str">
            <v>F1177600</v>
          </cell>
          <cell r="D241" t="str">
            <v>HERCO</v>
          </cell>
          <cell r="E241" t="str">
            <v>MTEPIOSX</v>
          </cell>
          <cell r="F241" t="str">
            <v>Prix Net</v>
          </cell>
          <cell r="G241" t="e">
            <v>#N/A</v>
          </cell>
          <cell r="H241">
            <v>1.02</v>
          </cell>
          <cell r="I241"/>
          <cell r="J241"/>
          <cell r="K241"/>
          <cell r="M241"/>
        </row>
        <row r="242">
          <cell r="A242" t="str">
            <v>00540158</v>
          </cell>
          <cell r="B242" t="str">
            <v>Contacteur auxiliaire [osmoseur &lt;2017]</v>
          </cell>
          <cell r="C242" t="str">
            <v>F1177600</v>
          </cell>
          <cell r="D242" t="str">
            <v>HERCO</v>
          </cell>
          <cell r="E242" t="str">
            <v>MTEPIOSM</v>
          </cell>
          <cell r="F242"/>
          <cell r="G242">
            <v>78</v>
          </cell>
          <cell r="H242">
            <v>1.02</v>
          </cell>
          <cell r="I242">
            <v>79.56</v>
          </cell>
          <cell r="J242">
            <v>113.65714285714287</v>
          </cell>
          <cell r="K242">
            <v>2026</v>
          </cell>
          <cell r="M242">
            <v>132.60000000000002</v>
          </cell>
        </row>
        <row r="243">
          <cell r="A243" t="str">
            <v>00540160</v>
          </cell>
          <cell r="B243" t="str">
            <v>Contacteur auxiliaire</v>
          </cell>
          <cell r="C243" t="str">
            <v>F1177600</v>
          </cell>
          <cell r="D243" t="str">
            <v>HERCO</v>
          </cell>
          <cell r="E243" t="str">
            <v>MTEPIOSM</v>
          </cell>
          <cell r="F243"/>
          <cell r="G243">
            <v>83</v>
          </cell>
          <cell r="H243">
            <v>1.02</v>
          </cell>
          <cell r="I243">
            <v>84.66</v>
          </cell>
          <cell r="J243">
            <v>120.94285714285715</v>
          </cell>
          <cell r="K243">
            <v>2026</v>
          </cell>
          <cell r="L243">
            <v>10</v>
          </cell>
          <cell r="M243">
            <v>141.1</v>
          </cell>
        </row>
        <row r="244">
          <cell r="A244" t="str">
            <v>00540171</v>
          </cell>
          <cell r="B244" t="str">
            <v>Contacteur moteur 4kW (Commande 1K3) [Hercotherm Ring]</v>
          </cell>
          <cell r="C244" t="str">
            <v>F1177600</v>
          </cell>
          <cell r="D244" t="str">
            <v>HERCO</v>
          </cell>
          <cell r="E244" t="str">
            <v>MTEPIOSM</v>
          </cell>
          <cell r="F244"/>
          <cell r="G244">
            <v>53</v>
          </cell>
          <cell r="H244">
            <v>1.02</v>
          </cell>
          <cell r="I244">
            <v>54.06</v>
          </cell>
          <cell r="J244">
            <v>77.228571428571442</v>
          </cell>
          <cell r="K244">
            <v>2026</v>
          </cell>
          <cell r="M244">
            <v>90.100000000000009</v>
          </cell>
        </row>
        <row r="245">
          <cell r="A245" t="str">
            <v>00540189</v>
          </cell>
          <cell r="B245" t="str">
            <v>Transformateur 1x400/230V 50-60Hz 160VA</v>
          </cell>
          <cell r="C245" t="str">
            <v>F1177600</v>
          </cell>
          <cell r="D245" t="str">
            <v>HERCO</v>
          </cell>
          <cell r="E245" t="str">
            <v>MTEPIOSM</v>
          </cell>
          <cell r="F245"/>
          <cell r="G245">
            <v>130</v>
          </cell>
          <cell r="H245">
            <v>1.02</v>
          </cell>
          <cell r="I245">
            <v>132.6</v>
          </cell>
          <cell r="J245">
            <v>189.42857142857144</v>
          </cell>
          <cell r="K245">
            <v>2026</v>
          </cell>
          <cell r="M245">
            <v>221</v>
          </cell>
        </row>
        <row r="246">
          <cell r="A246" t="str">
            <v>00540526</v>
          </cell>
          <cell r="B246" t="str">
            <v>Câble (au mètre / besoin 5m. pour kit chgt 00100121 vers 00100072)</v>
          </cell>
          <cell r="C246" t="str">
            <v>F1177600</v>
          </cell>
          <cell r="D246" t="str">
            <v>HERCO</v>
          </cell>
          <cell r="E246" t="str">
            <v>MTEPIOSM</v>
          </cell>
          <cell r="F246"/>
          <cell r="G246">
            <v>2.2999999999999998</v>
          </cell>
          <cell r="H246">
            <v>1.02</v>
          </cell>
          <cell r="I246">
            <v>2.3459999999999996</v>
          </cell>
          <cell r="J246">
            <v>3.351428571428571</v>
          </cell>
          <cell r="K246">
            <v>2026</v>
          </cell>
          <cell r="L246">
            <v>10</v>
          </cell>
          <cell r="M246">
            <v>3.9099999999999997</v>
          </cell>
        </row>
        <row r="247">
          <cell r="A247" t="str">
            <v>00540567</v>
          </cell>
          <cell r="B247" t="str">
            <v>Coupe circuit pour faible intensité 4A (par boite de 10)</v>
          </cell>
          <cell r="C247" t="str">
            <v>F1177600</v>
          </cell>
          <cell r="D247" t="str">
            <v>HERCO</v>
          </cell>
          <cell r="E247" t="str">
            <v>MTEPIOSX</v>
          </cell>
          <cell r="F247" t="str">
            <v>Prix Net</v>
          </cell>
          <cell r="G247">
            <v>1.04</v>
          </cell>
          <cell r="H247">
            <v>1.02</v>
          </cell>
          <cell r="I247">
            <v>1.0608</v>
          </cell>
          <cell r="J247">
            <v>1.3259999999999998</v>
          </cell>
          <cell r="K247">
            <v>2026</v>
          </cell>
          <cell r="L247">
            <v>10</v>
          </cell>
          <cell r="M247">
            <v>1.5154285714285716</v>
          </cell>
        </row>
        <row r="248">
          <cell r="A248" t="str">
            <v>00540671</v>
          </cell>
          <cell r="B248" t="str">
            <v>Bloc d'alimentation 230/400V 50-60HZ / 24VDC/7.5A</v>
          </cell>
          <cell r="C248" t="str">
            <v>F1177600</v>
          </cell>
          <cell r="D248" t="str">
            <v>HERCO</v>
          </cell>
          <cell r="E248" t="str">
            <v>MTEPIOSM</v>
          </cell>
          <cell r="F248"/>
          <cell r="G248">
            <v>205</v>
          </cell>
          <cell r="H248">
            <v>1.02</v>
          </cell>
          <cell r="I248">
            <v>209.1</v>
          </cell>
          <cell r="J248">
            <v>298.71428571428572</v>
          </cell>
          <cell r="K248">
            <v>2026</v>
          </cell>
          <cell r="M248">
            <v>348.5</v>
          </cell>
        </row>
        <row r="249">
          <cell r="A249" t="str">
            <v>00540696</v>
          </cell>
          <cell r="B249" t="str">
            <v>Codeur inductif</v>
          </cell>
          <cell r="C249" t="str">
            <v>F1177600</v>
          </cell>
          <cell r="D249" t="str">
            <v>HERCO</v>
          </cell>
          <cell r="E249" t="str">
            <v>MTEPIOSM</v>
          </cell>
          <cell r="F249"/>
          <cell r="G249">
            <v>198</v>
          </cell>
          <cell r="H249">
            <v>1.02</v>
          </cell>
          <cell r="I249">
            <v>201.96</v>
          </cell>
          <cell r="J249">
            <v>288.51428571428573</v>
          </cell>
          <cell r="K249">
            <v>2026</v>
          </cell>
          <cell r="M249">
            <v>336.6</v>
          </cell>
        </row>
        <row r="250">
          <cell r="A250" t="str">
            <v>00540707</v>
          </cell>
          <cell r="B250" t="str">
            <v>Coupe circuit pour faible intensité 100mA (par boite de 10)</v>
          </cell>
          <cell r="C250" t="str">
            <v>F1177600</v>
          </cell>
          <cell r="D250" t="str">
            <v>HERCO</v>
          </cell>
          <cell r="E250" t="str">
            <v>MTEPIOSX</v>
          </cell>
          <cell r="F250" t="str">
            <v>Prix Net</v>
          </cell>
          <cell r="G250">
            <v>1.04</v>
          </cell>
          <cell r="H250">
            <v>1.02</v>
          </cell>
          <cell r="I250">
            <v>1.0608</v>
          </cell>
          <cell r="J250">
            <v>1.3259999999999998</v>
          </cell>
          <cell r="K250">
            <v>2026</v>
          </cell>
          <cell r="L250">
            <v>10</v>
          </cell>
          <cell r="M250">
            <v>1.5154285714285716</v>
          </cell>
        </row>
        <row r="251">
          <cell r="A251" t="str">
            <v>00540711</v>
          </cell>
          <cell r="B251" t="str">
            <v>Contact auxiliaire DIL M32-XHI11 2 contacts 1 N/F + 1 N/O</v>
          </cell>
          <cell r="C251" t="str">
            <v>F1177600</v>
          </cell>
          <cell r="D251" t="str">
            <v>HERCO</v>
          </cell>
          <cell r="E251" t="str">
            <v>MTEPIOSM</v>
          </cell>
          <cell r="F251"/>
          <cell r="G251">
            <v>6.6</v>
          </cell>
          <cell r="H251">
            <v>1.02</v>
          </cell>
          <cell r="I251">
            <v>6.7319999999999993</v>
          </cell>
          <cell r="J251">
            <v>9.6171428571428574</v>
          </cell>
          <cell r="K251">
            <v>2026</v>
          </cell>
          <cell r="L251"/>
          <cell r="M251">
            <v>11.219999999999999</v>
          </cell>
        </row>
        <row r="252">
          <cell r="A252" t="str">
            <v>00540730</v>
          </cell>
          <cell r="B252" t="str">
            <v>Contacteur moteur 24 VDC 7,5 kW DILM17-10</v>
          </cell>
          <cell r="C252" t="str">
            <v>F1177600</v>
          </cell>
          <cell r="D252" t="str">
            <v>HERCO</v>
          </cell>
          <cell r="E252" t="str">
            <v>MTEPIOSM</v>
          </cell>
          <cell r="F252"/>
          <cell r="G252">
            <v>157</v>
          </cell>
          <cell r="H252">
            <v>1.02</v>
          </cell>
          <cell r="I252">
            <v>160.14000000000001</v>
          </cell>
          <cell r="J252">
            <v>228.7714285714286</v>
          </cell>
          <cell r="K252">
            <v>2026</v>
          </cell>
          <cell r="M252">
            <v>266.90000000000003</v>
          </cell>
        </row>
        <row r="253">
          <cell r="A253" t="str">
            <v>00540774</v>
          </cell>
          <cell r="B253" t="str">
            <v>Bloc d'alimentation</v>
          </cell>
          <cell r="C253" t="str">
            <v>F1177600</v>
          </cell>
          <cell r="D253" t="str">
            <v>HERCO</v>
          </cell>
          <cell r="E253" t="str">
            <v>MTEPIOSM</v>
          </cell>
          <cell r="F253"/>
          <cell r="G253">
            <v>292</v>
          </cell>
          <cell r="H253">
            <v>1.02</v>
          </cell>
          <cell r="I253">
            <v>297.84000000000003</v>
          </cell>
          <cell r="J253">
            <v>425.48571428571438</v>
          </cell>
          <cell r="K253">
            <v>2026</v>
          </cell>
          <cell r="L253">
            <v>10</v>
          </cell>
          <cell r="M253">
            <v>496.40000000000009</v>
          </cell>
        </row>
        <row r="254">
          <cell r="A254" t="str">
            <v>00540777</v>
          </cell>
          <cell r="B254" t="str">
            <v>Relais de couplage</v>
          </cell>
          <cell r="C254" t="str">
            <v>F1177600</v>
          </cell>
          <cell r="D254" t="str">
            <v>HERCO</v>
          </cell>
          <cell r="E254" t="str">
            <v>MTEPIOSM</v>
          </cell>
          <cell r="F254"/>
          <cell r="G254">
            <v>48.3</v>
          </cell>
          <cell r="H254">
            <v>1.02</v>
          </cell>
          <cell r="I254">
            <v>49.265999999999998</v>
          </cell>
          <cell r="J254">
            <v>70.38</v>
          </cell>
          <cell r="K254">
            <v>2026</v>
          </cell>
          <cell r="M254">
            <v>82.11</v>
          </cell>
        </row>
        <row r="255">
          <cell r="A255" t="str">
            <v>00540843</v>
          </cell>
          <cell r="B255" t="str">
            <v>Disjoncteur-protecteur 20-25A [HP5500]</v>
          </cell>
          <cell r="C255" t="str">
            <v>F1177600</v>
          </cell>
          <cell r="D255" t="str">
            <v>HERCO</v>
          </cell>
          <cell r="E255" t="str">
            <v>MTEPIOSX</v>
          </cell>
          <cell r="F255" t="str">
            <v>Prix Net</v>
          </cell>
          <cell r="G255">
            <v>111</v>
          </cell>
          <cell r="H255">
            <v>1.02</v>
          </cell>
          <cell r="I255">
            <v>113.22</v>
          </cell>
          <cell r="J255">
            <v>141.52499999999998</v>
          </cell>
          <cell r="K255">
            <v>2026</v>
          </cell>
          <cell r="L255"/>
          <cell r="M255">
            <v>161.74285714285716</v>
          </cell>
        </row>
        <row r="256">
          <cell r="A256" t="str">
            <v>00540874</v>
          </cell>
          <cell r="B256" t="str">
            <v>Contacteur moteur 5,5kW</v>
          </cell>
          <cell r="C256" t="str">
            <v>F1177600</v>
          </cell>
          <cell r="D256" t="str">
            <v>HERCO</v>
          </cell>
          <cell r="E256" t="str">
            <v>MTEPIOSX</v>
          </cell>
          <cell r="F256" t="str">
            <v>Prix Net</v>
          </cell>
          <cell r="G256">
            <v>119</v>
          </cell>
          <cell r="H256">
            <v>1.02</v>
          </cell>
          <cell r="I256">
            <v>121.38</v>
          </cell>
          <cell r="J256">
            <v>151.72499999999999</v>
          </cell>
          <cell r="K256">
            <v>2026</v>
          </cell>
          <cell r="M256">
            <v>173.4</v>
          </cell>
        </row>
        <row r="257">
          <cell r="A257" t="str">
            <v>00541150</v>
          </cell>
          <cell r="B257" t="str">
            <v>Coupe circuit pour faible intensité 500mA (par boite de 10)</v>
          </cell>
          <cell r="C257" t="str">
            <v>F1177600</v>
          </cell>
          <cell r="D257" t="str">
            <v>HERCO</v>
          </cell>
          <cell r="E257" t="str">
            <v>MTEPIOSX</v>
          </cell>
          <cell r="F257" t="str">
            <v>Prix Net</v>
          </cell>
          <cell r="G257">
            <v>2.2999999999999998</v>
          </cell>
          <cell r="H257">
            <v>1.02</v>
          </cell>
          <cell r="I257">
            <v>2.3459999999999996</v>
          </cell>
          <cell r="J257">
            <v>2.9324999999999992</v>
          </cell>
          <cell r="K257">
            <v>2026</v>
          </cell>
          <cell r="L257">
            <v>10</v>
          </cell>
          <cell r="M257">
            <v>3.351428571428571</v>
          </cell>
        </row>
        <row r="258">
          <cell r="A258" t="str">
            <v>00541236</v>
          </cell>
          <cell r="B258" t="str">
            <v>Fiche d'électrovanne</v>
          </cell>
          <cell r="C258" t="str">
            <v>F1177600</v>
          </cell>
          <cell r="D258" t="str">
            <v>HERCO</v>
          </cell>
          <cell r="E258" t="str">
            <v>MTEPIOSM</v>
          </cell>
          <cell r="F258"/>
          <cell r="G258">
            <v>42.5</v>
          </cell>
          <cell r="H258">
            <v>1.02</v>
          </cell>
          <cell r="I258">
            <v>43.35</v>
          </cell>
          <cell r="J258">
            <v>61.928571428571438</v>
          </cell>
          <cell r="K258">
            <v>2026</v>
          </cell>
          <cell r="M258">
            <v>72.25</v>
          </cell>
        </row>
        <row r="259">
          <cell r="A259" t="str">
            <v>00541248</v>
          </cell>
          <cell r="B259" t="str">
            <v>Coupe circuit pour faible intensité 5A (par boite de 10)</v>
          </cell>
          <cell r="C259" t="str">
            <v>F1177600</v>
          </cell>
          <cell r="D259" t="str">
            <v>HERCO</v>
          </cell>
          <cell r="E259" t="str">
            <v>MTEPIOSX</v>
          </cell>
          <cell r="F259" t="str">
            <v>Prix Net</v>
          </cell>
          <cell r="G259">
            <v>2.0699999999999998</v>
          </cell>
          <cell r="H259">
            <v>1.02</v>
          </cell>
          <cell r="I259">
            <v>2.1113999999999997</v>
          </cell>
          <cell r="J259">
            <v>2.6392499999999997</v>
          </cell>
          <cell r="K259">
            <v>2026</v>
          </cell>
          <cell r="L259">
            <v>10</v>
          </cell>
          <cell r="M259">
            <v>3.016285714285714</v>
          </cell>
        </row>
        <row r="260">
          <cell r="A260" t="str">
            <v>00541305</v>
          </cell>
          <cell r="B260" t="str">
            <v>Fusible de voiture 15 A</v>
          </cell>
          <cell r="C260" t="str">
            <v>F1177600</v>
          </cell>
          <cell r="D260" t="str">
            <v>HERCO</v>
          </cell>
          <cell r="E260" t="str">
            <v>MTEPIOSM</v>
          </cell>
          <cell r="F260"/>
          <cell r="G260">
            <v>3.5</v>
          </cell>
          <cell r="H260">
            <v>1.02</v>
          </cell>
          <cell r="I260">
            <v>3.5700000000000003</v>
          </cell>
          <cell r="J260">
            <v>5.1000000000000005</v>
          </cell>
          <cell r="K260">
            <v>2026</v>
          </cell>
          <cell r="M260">
            <v>5.9500000000000011</v>
          </cell>
        </row>
        <row r="261">
          <cell r="A261" t="str">
            <v>00541567</v>
          </cell>
          <cell r="B261" t="str">
            <v>Ventilateur armoire 230VAC 45m3/h 148.5x14</v>
          </cell>
          <cell r="C261" t="str">
            <v>F1177600</v>
          </cell>
          <cell r="D261" t="str">
            <v>HERCO</v>
          </cell>
          <cell r="E261" t="str">
            <v>MTEPIOSM</v>
          </cell>
          <cell r="F261"/>
          <cell r="G261">
            <v>257</v>
          </cell>
          <cell r="H261">
            <v>1.02</v>
          </cell>
          <cell r="I261">
            <v>262.14</v>
          </cell>
          <cell r="J261">
            <v>374.48571428571427</v>
          </cell>
          <cell r="K261">
            <v>2026</v>
          </cell>
          <cell r="M261">
            <v>436.9</v>
          </cell>
        </row>
        <row r="262">
          <cell r="A262" t="str">
            <v>00541873</v>
          </cell>
          <cell r="B262" t="str">
            <v>Borne à ressort 2 fils gris 0.14-1.5 mm² (Régulateurs bi-métal) [1X10/2X5]</v>
          </cell>
          <cell r="C262" t="str">
            <v>F1177600</v>
          </cell>
          <cell r="D262" t="str">
            <v>HERCO</v>
          </cell>
          <cell r="E262" t="str">
            <v>MTEPIOSM</v>
          </cell>
          <cell r="F262"/>
          <cell r="G262">
            <v>1.5</v>
          </cell>
          <cell r="H262">
            <v>1.02</v>
          </cell>
          <cell r="I262">
            <v>1.53</v>
          </cell>
          <cell r="J262">
            <v>2.1857142857142859</v>
          </cell>
          <cell r="K262">
            <v>2025</v>
          </cell>
          <cell r="M262">
            <v>2.5500000000000003</v>
          </cell>
        </row>
        <row r="263">
          <cell r="A263" t="str">
            <v>00541876</v>
          </cell>
          <cell r="B263" t="str">
            <v>Borne à ressort 4 fils gris 0.14-1.5 mm² (L01, N01, PE) [1X4.1]</v>
          </cell>
          <cell r="C263" t="str">
            <v>F1177600</v>
          </cell>
          <cell r="D263" t="str">
            <v>HERCO</v>
          </cell>
          <cell r="E263" t="str">
            <v>MTEPIOSM</v>
          </cell>
          <cell r="F263"/>
          <cell r="G263">
            <v>2.2000000000000002</v>
          </cell>
          <cell r="H263">
            <v>1.02</v>
          </cell>
          <cell r="I263">
            <v>2.2440000000000002</v>
          </cell>
          <cell r="J263">
            <v>3.2057142857142864</v>
          </cell>
          <cell r="K263">
            <v>2025</v>
          </cell>
          <cell r="M263">
            <v>3.7400000000000007</v>
          </cell>
        </row>
        <row r="264">
          <cell r="A264" t="str">
            <v>00541878</v>
          </cell>
          <cell r="B264" t="str">
            <v>Borne pour conducteur de protection 4 fils 0,14-1,5 mm² [1X4.2]</v>
          </cell>
          <cell r="C264" t="str">
            <v>F1177600</v>
          </cell>
          <cell r="D264" t="str">
            <v>HERCO</v>
          </cell>
          <cell r="E264" t="str">
            <v>MTEPIOSM</v>
          </cell>
          <cell r="F264"/>
          <cell r="G264">
            <v>7.1</v>
          </cell>
          <cell r="H264">
            <v>1.02</v>
          </cell>
          <cell r="I264">
            <v>7.242</v>
          </cell>
          <cell r="J264">
            <v>10.345714285714287</v>
          </cell>
          <cell r="K264">
            <v>2025</v>
          </cell>
          <cell r="M264">
            <v>12.07</v>
          </cell>
        </row>
        <row r="265">
          <cell r="A265" t="str">
            <v>00541881</v>
          </cell>
          <cell r="B265" t="str">
            <v>Borne pour conducteur de protection 2 fils 0,25-2,5 mm² (1, 4, 7, 10) [2X1.1]</v>
          </cell>
          <cell r="C265" t="str">
            <v>F1177600</v>
          </cell>
          <cell r="D265" t="str">
            <v>HERCO</v>
          </cell>
          <cell r="E265" t="str">
            <v>MTEPIOSM</v>
          </cell>
          <cell r="F265"/>
          <cell r="G265">
            <v>5.9</v>
          </cell>
          <cell r="H265">
            <v>1.02</v>
          </cell>
          <cell r="I265">
            <v>6.0180000000000007</v>
          </cell>
          <cell r="J265">
            <v>8.5971428571428579</v>
          </cell>
          <cell r="K265">
            <v>2025</v>
          </cell>
          <cell r="M265">
            <v>10.030000000000001</v>
          </cell>
        </row>
        <row r="266">
          <cell r="A266" t="str">
            <v>00541888</v>
          </cell>
          <cell r="B266" t="str">
            <v>Borne de passage à 2 fils gris 0.5-6 mm² TOPJOB S 2006 (L1, L2, L3) [1X1-A]</v>
          </cell>
          <cell r="C266" t="str">
            <v>F1177600</v>
          </cell>
          <cell r="D266" t="str">
            <v>HERCO</v>
          </cell>
          <cell r="E266" t="str">
            <v>MTEPIOSM</v>
          </cell>
          <cell r="F266"/>
          <cell r="G266">
            <v>3.4</v>
          </cell>
          <cell r="H266">
            <v>1.02</v>
          </cell>
          <cell r="I266">
            <v>3.468</v>
          </cell>
          <cell r="J266">
            <v>4.9542857142857146</v>
          </cell>
          <cell r="K266">
            <v>2025</v>
          </cell>
          <cell r="M266">
            <v>5.78</v>
          </cell>
        </row>
        <row r="267">
          <cell r="A267" t="str">
            <v>00541889</v>
          </cell>
          <cell r="B267" t="str">
            <v>Borne de passage à 2 conducteurs bleue 0.5-6 mm² (Neutre) [1X1-B]</v>
          </cell>
          <cell r="C267" t="str">
            <v>F1177600</v>
          </cell>
          <cell r="D267" t="str">
            <v>HERCO</v>
          </cell>
          <cell r="E267" t="str">
            <v>MTEPIOSM</v>
          </cell>
          <cell r="F267"/>
          <cell r="G267">
            <v>3.4</v>
          </cell>
          <cell r="H267">
            <v>1.02</v>
          </cell>
          <cell r="I267">
            <v>3.468</v>
          </cell>
          <cell r="J267">
            <v>4.9542857142857146</v>
          </cell>
          <cell r="K267">
            <v>2025</v>
          </cell>
          <cell r="M267">
            <v>5.78</v>
          </cell>
        </row>
        <row r="268">
          <cell r="A268" t="str">
            <v>00541890</v>
          </cell>
          <cell r="B268" t="str">
            <v>Borne pour conducteur de protection à 2 fils vert-jaune 0.5-6 mm² (PE) [1X1-C]</v>
          </cell>
          <cell r="C268" t="str">
            <v>F1177600</v>
          </cell>
          <cell r="D268" t="str">
            <v>HERCO</v>
          </cell>
          <cell r="E268" t="str">
            <v>MTEPIOSM</v>
          </cell>
          <cell r="F268"/>
          <cell r="G268">
            <v>7.8</v>
          </cell>
          <cell r="H268">
            <v>1.02</v>
          </cell>
          <cell r="I268">
            <v>7.9559999999999995</v>
          </cell>
          <cell r="J268">
            <v>11.365714285714287</v>
          </cell>
          <cell r="K268">
            <v>2025</v>
          </cell>
          <cell r="M268">
            <v>13.26</v>
          </cell>
        </row>
        <row r="269">
          <cell r="A269" t="str">
            <v>00541892</v>
          </cell>
          <cell r="B269" t="str">
            <v>Borne à ressort 2 fils bleu 0,5-16 mm² (N, N) [2X1]</v>
          </cell>
          <cell r="C269" t="str">
            <v>F1177600</v>
          </cell>
          <cell r="D269" t="str">
            <v>HERCO</v>
          </cell>
          <cell r="E269" t="str">
            <v>MTEPIOSM</v>
          </cell>
          <cell r="F269"/>
          <cell r="G269">
            <v>5.3</v>
          </cell>
          <cell r="H269">
            <v>1.02</v>
          </cell>
          <cell r="I269">
            <v>5.4059999999999997</v>
          </cell>
          <cell r="J269">
            <v>7.7228571428571433</v>
          </cell>
          <cell r="K269">
            <v>2025</v>
          </cell>
          <cell r="M269">
            <v>9.01</v>
          </cell>
        </row>
        <row r="270">
          <cell r="A270" t="str">
            <v>00541893</v>
          </cell>
          <cell r="B270" t="str">
            <v>Borne pour conducteur de protection 2 fils 0,5-16 mm² (PE, PE, PE) [2X1]</v>
          </cell>
          <cell r="C270" t="str">
            <v>F1177600</v>
          </cell>
          <cell r="D270" t="str">
            <v>HERCO</v>
          </cell>
          <cell r="E270" t="str">
            <v>MTEPIOSM</v>
          </cell>
          <cell r="F270"/>
          <cell r="G270">
            <v>11.3</v>
          </cell>
          <cell r="H270">
            <v>1.02</v>
          </cell>
          <cell r="I270">
            <v>11.526000000000002</v>
          </cell>
          <cell r="J270">
            <v>16.465714285714288</v>
          </cell>
          <cell r="K270">
            <v>2025</v>
          </cell>
          <cell r="M270">
            <v>19.210000000000004</v>
          </cell>
        </row>
        <row r="271">
          <cell r="A271" t="str">
            <v>00542114</v>
          </cell>
          <cell r="B271" t="str">
            <v>Borne à deux étages gris 0.25–4 mm² [1X7.1]</v>
          </cell>
          <cell r="C271" t="str">
            <v>F1177600</v>
          </cell>
          <cell r="D271" t="str">
            <v>HERCO</v>
          </cell>
          <cell r="E271" t="str">
            <v>MTEPIOSM</v>
          </cell>
          <cell r="F271"/>
          <cell r="G271">
            <v>4.5999999999999996</v>
          </cell>
          <cell r="H271">
            <v>1.02</v>
          </cell>
          <cell r="I271">
            <v>4.6919999999999993</v>
          </cell>
          <cell r="J271">
            <v>6.702857142857142</v>
          </cell>
          <cell r="K271">
            <v>2025</v>
          </cell>
          <cell r="M271">
            <v>7.8199999999999994</v>
          </cell>
        </row>
        <row r="272">
          <cell r="A272" t="str">
            <v>00542116</v>
          </cell>
          <cell r="B272" t="str">
            <v>Bloc de jonction de moteur à 4 étages gris 0.25–4 mm² (U1, U2, U3) [1X1-D/2X1.1]</v>
          </cell>
          <cell r="C272" t="str">
            <v>F1177600</v>
          </cell>
          <cell r="D272" t="str">
            <v>HERCO</v>
          </cell>
          <cell r="E272" t="str">
            <v>MTEPIOSM</v>
          </cell>
          <cell r="F272"/>
          <cell r="G272">
            <v>14.5</v>
          </cell>
          <cell r="H272">
            <v>1.02</v>
          </cell>
          <cell r="I272">
            <v>14.790000000000001</v>
          </cell>
          <cell r="J272">
            <v>21.12857142857143</v>
          </cell>
          <cell r="K272">
            <v>2025</v>
          </cell>
          <cell r="L272"/>
          <cell r="M272">
            <v>24.650000000000002</v>
          </cell>
        </row>
        <row r="273">
          <cell r="A273" t="str">
            <v>00542118</v>
          </cell>
          <cell r="B273" t="str">
            <v>Borne à trois étages L/L/L gris 0.25–4 mm² [1X4/1X5/1X7]</v>
          </cell>
          <cell r="C273" t="str">
            <v>F1177600</v>
          </cell>
          <cell r="D273" t="str">
            <v>HERCO</v>
          </cell>
          <cell r="E273" t="str">
            <v>MTEPIOSM</v>
          </cell>
          <cell r="F273"/>
          <cell r="G273">
            <v>7.3</v>
          </cell>
          <cell r="H273">
            <v>1.02</v>
          </cell>
          <cell r="I273">
            <v>7.4459999999999997</v>
          </cell>
          <cell r="J273">
            <v>10.637142857142857</v>
          </cell>
          <cell r="K273">
            <v>2025</v>
          </cell>
          <cell r="M273">
            <v>12.41</v>
          </cell>
        </row>
        <row r="274">
          <cell r="A274" t="str">
            <v>00542119</v>
          </cell>
          <cell r="B274" t="str">
            <v>Borne à trois étages PE/L/L gris 0,25–4 mm² [1X3/1X4/1X5/2X4]</v>
          </cell>
          <cell r="C274" t="str">
            <v>F1177600</v>
          </cell>
          <cell r="D274" t="str">
            <v>HERCO</v>
          </cell>
          <cell r="E274" t="str">
            <v>MTEPIOSM</v>
          </cell>
          <cell r="F274"/>
          <cell r="G274">
            <v>12.2</v>
          </cell>
          <cell r="H274">
            <v>1.02</v>
          </cell>
          <cell r="I274">
            <v>12.443999999999999</v>
          </cell>
          <cell r="J274">
            <v>17.777142857142856</v>
          </cell>
          <cell r="K274">
            <v>2025</v>
          </cell>
          <cell r="M274">
            <v>20.74</v>
          </cell>
        </row>
        <row r="275">
          <cell r="A275" t="str">
            <v>00541931</v>
          </cell>
          <cell r="B275" t="str">
            <v>Interrupteur auxiliaire 5ST3010</v>
          </cell>
          <cell r="C275" t="str">
            <v>F1177600</v>
          </cell>
          <cell r="D275" t="str">
            <v>HERCO</v>
          </cell>
          <cell r="E275" t="str">
            <v>MTEPIOSM</v>
          </cell>
          <cell r="F275"/>
          <cell r="G275">
            <v>40</v>
          </cell>
          <cell r="H275">
            <v>1.02</v>
          </cell>
          <cell r="I275">
            <v>40.799999999999997</v>
          </cell>
          <cell r="J275">
            <v>58.285714285714285</v>
          </cell>
          <cell r="K275">
            <v>2026</v>
          </cell>
          <cell r="M275">
            <v>68</v>
          </cell>
        </row>
        <row r="276">
          <cell r="A276" t="str">
            <v>00541972</v>
          </cell>
          <cell r="B276" t="str">
            <v>Colonne 3 voyants 24 VDC</v>
          </cell>
          <cell r="C276" t="str">
            <v>F1177600</v>
          </cell>
          <cell r="D276" t="str">
            <v>HERCO</v>
          </cell>
          <cell r="E276" t="str">
            <v>MTEPIOSX</v>
          </cell>
          <cell r="F276" t="str">
            <v>Prix Net</v>
          </cell>
          <cell r="G276">
            <v>404</v>
          </cell>
          <cell r="H276">
            <v>1.02</v>
          </cell>
          <cell r="I276">
            <v>412.08</v>
          </cell>
          <cell r="J276">
            <v>515.09999999999991</v>
          </cell>
          <cell r="K276">
            <v>2026</v>
          </cell>
          <cell r="L276"/>
          <cell r="M276">
            <v>588.68571428571431</v>
          </cell>
        </row>
        <row r="277">
          <cell r="A277" t="str">
            <v>00541978</v>
          </cell>
          <cell r="B277" t="str">
            <v>PC compact pour Diatron 5000-II</v>
          </cell>
          <cell r="C277" t="str">
            <v>F1177600</v>
          </cell>
          <cell r="D277" t="str">
            <v>HERCO</v>
          </cell>
          <cell r="E277" t="str">
            <v>MTEPIOSM</v>
          </cell>
          <cell r="F277"/>
          <cell r="G277">
            <v>2539</v>
          </cell>
          <cell r="H277">
            <v>1.02</v>
          </cell>
          <cell r="I277">
            <v>2589.7800000000002</v>
          </cell>
          <cell r="J277">
            <v>3699.6857142857148</v>
          </cell>
          <cell r="K277">
            <v>2026</v>
          </cell>
          <cell r="L277"/>
          <cell r="M277">
            <v>4316.3</v>
          </cell>
        </row>
        <row r="278">
          <cell r="A278" t="str">
            <v>00542057</v>
          </cell>
          <cell r="B278" t="str">
            <v>Relais à fiches (commande 1K5)</v>
          </cell>
          <cell r="C278" t="str">
            <v>F1177600</v>
          </cell>
          <cell r="D278" t="str">
            <v>HERCO</v>
          </cell>
          <cell r="E278" t="str">
            <v>MTEPIOSM</v>
          </cell>
          <cell r="F278"/>
          <cell r="G278">
            <v>41.3</v>
          </cell>
          <cell r="H278">
            <v>1.02</v>
          </cell>
          <cell r="I278">
            <v>42.125999999999998</v>
          </cell>
          <cell r="J278">
            <v>60.18</v>
          </cell>
          <cell r="K278">
            <v>2026</v>
          </cell>
          <cell r="M278">
            <v>70.209999999999994</v>
          </cell>
        </row>
        <row r="279">
          <cell r="A279" t="str">
            <v>00542126</v>
          </cell>
          <cell r="B279" t="str">
            <v>Connecteur type A + 7m de câble pour capteur de pression 00630419 (VBS)</v>
          </cell>
          <cell r="C279" t="str">
            <v>F1177600</v>
          </cell>
          <cell r="D279" t="str">
            <v>HERCO</v>
          </cell>
          <cell r="E279" t="str">
            <v>MTEPIOSM</v>
          </cell>
          <cell r="F279"/>
          <cell r="G279">
            <v>63</v>
          </cell>
          <cell r="H279">
            <v>1.02</v>
          </cell>
          <cell r="I279">
            <v>64.260000000000005</v>
          </cell>
          <cell r="J279">
            <v>91.800000000000011</v>
          </cell>
          <cell r="K279">
            <v>2026</v>
          </cell>
          <cell r="M279">
            <v>107.10000000000001</v>
          </cell>
        </row>
        <row r="280">
          <cell r="A280" t="str">
            <v>00542220</v>
          </cell>
          <cell r="B280" t="str">
            <v>Contacteur moteur 24VDC 22kW Eaton DILM50</v>
          </cell>
          <cell r="C280" t="str">
            <v>F1177600</v>
          </cell>
          <cell r="D280" t="str">
            <v>HERCO</v>
          </cell>
          <cell r="E280" t="str">
            <v>MTEPIOSX</v>
          </cell>
          <cell r="F280" t="str">
            <v>Prix Net</v>
          </cell>
          <cell r="G280">
            <v>445</v>
          </cell>
          <cell r="H280">
            <v>1.02</v>
          </cell>
          <cell r="I280">
            <v>453.90000000000003</v>
          </cell>
          <cell r="J280">
            <v>567.375</v>
          </cell>
          <cell r="K280">
            <v>2026</v>
          </cell>
          <cell r="L280"/>
          <cell r="M280">
            <v>648.42857142857156</v>
          </cell>
        </row>
        <row r="281">
          <cell r="A281" t="str">
            <v>00542235</v>
          </cell>
          <cell r="B281" t="str">
            <v>CPU + Ecran pour Diatron 5500-I [HP5500] &gt;&gt;&gt; 00542307+00542509</v>
          </cell>
          <cell r="C281" t="str">
            <v>F1177600</v>
          </cell>
          <cell r="D281" t="str">
            <v>HERCO</v>
          </cell>
          <cell r="E281" t="str">
            <v>MTEPIOSM</v>
          </cell>
          <cell r="F281"/>
          <cell r="G281" t="str">
            <v>n/a</v>
          </cell>
          <cell r="H281">
            <v>1.02</v>
          </cell>
          <cell r="I281" t="str">
            <v>n/a</v>
          </cell>
          <cell r="J281" t="str">
            <v>n/a</v>
          </cell>
          <cell r="K281">
            <v>2025</v>
          </cell>
          <cell r="L281"/>
          <cell r="M281" t="str">
            <v>n/a</v>
          </cell>
        </row>
        <row r="282">
          <cell r="A282" t="str">
            <v>00542236</v>
          </cell>
          <cell r="B282" t="str">
            <v>I/O Carte de base pour Diatron 5500-I/II [HP5500]</v>
          </cell>
          <cell r="C282" t="str">
            <v>F1177600</v>
          </cell>
          <cell r="D282" t="str">
            <v>HERCO</v>
          </cell>
          <cell r="E282" t="str">
            <v>MTEPIOSM</v>
          </cell>
          <cell r="F282"/>
          <cell r="G282">
            <v>758</v>
          </cell>
          <cell r="H282">
            <v>1.02</v>
          </cell>
          <cell r="I282">
            <v>773.16</v>
          </cell>
          <cell r="J282">
            <v>1104.5142857142857</v>
          </cell>
          <cell r="K282">
            <v>2026</v>
          </cell>
          <cell r="M282">
            <v>1288.5999999999999</v>
          </cell>
        </row>
        <row r="283">
          <cell r="A283" t="str">
            <v>00542237</v>
          </cell>
          <cell r="B283" t="str">
            <v>I/O Carte extension Diatron 5000-II (inclus dans 00545375) [osm. &lt;2017]</v>
          </cell>
          <cell r="C283" t="str">
            <v>F1177600</v>
          </cell>
          <cell r="D283" t="str">
            <v>HERCO</v>
          </cell>
          <cell r="E283" t="str">
            <v>MTEPIOSM</v>
          </cell>
          <cell r="F283"/>
          <cell r="G283">
            <v>1969</v>
          </cell>
          <cell r="H283">
            <v>1.02</v>
          </cell>
          <cell r="I283">
            <v>2008.38</v>
          </cell>
          <cell r="J283">
            <v>2869.1142857142859</v>
          </cell>
          <cell r="K283">
            <v>2026</v>
          </cell>
          <cell r="M283">
            <v>3347.3</v>
          </cell>
        </row>
        <row r="284">
          <cell r="A284" t="str">
            <v>00542238</v>
          </cell>
          <cell r="B284" t="str">
            <v>CPU/Carte de base pour Diatron 5000-II (inclus dans 00545375) [osm. &lt;2017]</v>
          </cell>
          <cell r="C284" t="str">
            <v>F1177600</v>
          </cell>
          <cell r="D284" t="str">
            <v>HERCO</v>
          </cell>
          <cell r="E284" t="str">
            <v>MTEPIOSM</v>
          </cell>
          <cell r="F284"/>
          <cell r="G284">
            <v>1805</v>
          </cell>
          <cell r="H284">
            <v>1.02</v>
          </cell>
          <cell r="I284">
            <v>1841.1000000000001</v>
          </cell>
          <cell r="J284">
            <v>2630.1428571428573</v>
          </cell>
          <cell r="K284">
            <v>2026</v>
          </cell>
          <cell r="M284">
            <v>3068.5000000000005</v>
          </cell>
        </row>
        <row r="285">
          <cell r="A285" t="str">
            <v>00542248</v>
          </cell>
          <cell r="B285" t="str">
            <v>Elément filtrant l'aération armoire électrique (jeu de 5)</v>
          </cell>
          <cell r="C285" t="str">
            <v>F1177600</v>
          </cell>
          <cell r="D285" t="str">
            <v>HERCO</v>
          </cell>
          <cell r="E285" t="str">
            <v>MTEPIOSM</v>
          </cell>
          <cell r="F285"/>
          <cell r="G285">
            <v>32</v>
          </cell>
          <cell r="H285">
            <v>1.02</v>
          </cell>
          <cell r="I285">
            <v>32.64</v>
          </cell>
          <cell r="J285">
            <v>46.628571428571433</v>
          </cell>
          <cell r="K285">
            <v>2026</v>
          </cell>
          <cell r="M285">
            <v>54.400000000000006</v>
          </cell>
        </row>
        <row r="286">
          <cell r="A286" t="str">
            <v>00542256</v>
          </cell>
          <cell r="B286" t="str">
            <v>Connecteur M12</v>
          </cell>
          <cell r="C286" t="str">
            <v>F1177600</v>
          </cell>
          <cell r="D286" t="str">
            <v>HERCO</v>
          </cell>
          <cell r="E286" t="str">
            <v>MTEPIOSM</v>
          </cell>
          <cell r="F286"/>
          <cell r="G286">
            <v>55</v>
          </cell>
          <cell r="H286">
            <v>1.02</v>
          </cell>
          <cell r="I286">
            <v>56.1</v>
          </cell>
          <cell r="J286">
            <v>80.142857142857153</v>
          </cell>
          <cell r="K286">
            <v>2026</v>
          </cell>
          <cell r="M286">
            <v>93.5</v>
          </cell>
        </row>
        <row r="287">
          <cell r="A287" t="str">
            <v>00542307</v>
          </cell>
          <cell r="B287" t="str">
            <v>CPU + Ecran pour Diatron 5500-II [HP5500] * Tarif sur demande *</v>
          </cell>
          <cell r="C287" t="str">
            <v>F1177600</v>
          </cell>
          <cell r="D287" t="str">
            <v>HERCO</v>
          </cell>
          <cell r="E287" t="str">
            <v>MTEPIOSM</v>
          </cell>
          <cell r="F287"/>
          <cell r="G287">
            <v>1790</v>
          </cell>
          <cell r="H287">
            <v>1.02</v>
          </cell>
          <cell r="I287">
            <v>1825.8</v>
          </cell>
          <cell r="J287">
            <v>2608.2857142857142</v>
          </cell>
          <cell r="K287">
            <v>2026</v>
          </cell>
          <cell r="M287">
            <v>3043</v>
          </cell>
        </row>
        <row r="288">
          <cell r="A288" t="str">
            <v>00542308</v>
          </cell>
          <cell r="B288" t="str">
            <v>I/O Carte extension Diatron 5500-I/II [HP5500]</v>
          </cell>
          <cell r="C288" t="str">
            <v>F1177600</v>
          </cell>
          <cell r="D288" t="str">
            <v>HERCO</v>
          </cell>
          <cell r="E288" t="str">
            <v>MTEPIOSM</v>
          </cell>
          <cell r="F288"/>
          <cell r="G288">
            <v>2009</v>
          </cell>
          <cell r="H288">
            <v>1.02</v>
          </cell>
          <cell r="I288">
            <v>2049.1799999999998</v>
          </cell>
          <cell r="J288">
            <v>2927.4</v>
          </cell>
          <cell r="K288">
            <v>2026</v>
          </cell>
          <cell r="M288">
            <v>3415.2999999999997</v>
          </cell>
        </row>
        <row r="289">
          <cell r="A289" t="str">
            <v>00542322</v>
          </cell>
          <cell r="B289" t="str">
            <v>Module VBS connect pour Diatron 5500-II (monitoring prétraitement)</v>
          </cell>
          <cell r="C289" t="str">
            <v>F1177600</v>
          </cell>
          <cell r="D289" t="str">
            <v>HERCO</v>
          </cell>
          <cell r="E289" t="str">
            <v>MTEPIOSM</v>
          </cell>
          <cell r="F289"/>
          <cell r="G289">
            <v>1519</v>
          </cell>
          <cell r="H289">
            <v>1.02</v>
          </cell>
          <cell r="I289">
            <v>1549.38</v>
          </cell>
          <cell r="J289">
            <v>2213.4</v>
          </cell>
          <cell r="K289">
            <v>2026</v>
          </cell>
          <cell r="L289"/>
          <cell r="M289">
            <v>2582.3000000000002</v>
          </cell>
        </row>
        <row r="290">
          <cell r="A290" t="str">
            <v>00542368</v>
          </cell>
          <cell r="B290" t="str">
            <v>Disjoncteur automatique 16A type B-1 broche</v>
          </cell>
          <cell r="C290" t="str">
            <v>F1177600</v>
          </cell>
          <cell r="D290" t="str">
            <v>HERCO</v>
          </cell>
          <cell r="E290" t="str">
            <v>MTEPIOSM</v>
          </cell>
          <cell r="F290"/>
          <cell r="G290">
            <v>30</v>
          </cell>
          <cell r="H290">
            <v>1.02</v>
          </cell>
          <cell r="I290">
            <v>30.6</v>
          </cell>
          <cell r="J290">
            <v>43.714285714285722</v>
          </cell>
          <cell r="K290">
            <v>2026</v>
          </cell>
          <cell r="M290">
            <v>51.000000000000007</v>
          </cell>
        </row>
        <row r="291">
          <cell r="A291" t="str">
            <v>00542369</v>
          </cell>
          <cell r="B291" t="str">
            <v>Disjoncteur automatique 16A type B-3 broches</v>
          </cell>
          <cell r="C291" t="str">
            <v>F1177600</v>
          </cell>
          <cell r="D291" t="str">
            <v>HERCO</v>
          </cell>
          <cell r="E291" t="str">
            <v>MTEPIOSM</v>
          </cell>
          <cell r="F291"/>
          <cell r="G291">
            <v>130</v>
          </cell>
          <cell r="H291">
            <v>1.02</v>
          </cell>
          <cell r="I291">
            <v>132.6</v>
          </cell>
          <cell r="J291">
            <v>189.42857142857144</v>
          </cell>
          <cell r="K291">
            <v>2026</v>
          </cell>
          <cell r="L291"/>
          <cell r="M291">
            <v>221</v>
          </cell>
        </row>
        <row r="292">
          <cell r="A292" t="str">
            <v>00542382</v>
          </cell>
          <cell r="B292" t="str">
            <v>Connecteur bornier 3 entrées A/B/Gr pour carte X0 (Diatron)</v>
          </cell>
          <cell r="C292" t="str">
            <v>F1177600</v>
          </cell>
          <cell r="D292" t="str">
            <v>HERCO</v>
          </cell>
          <cell r="E292" t="str">
            <v>MTEPIOSM</v>
          </cell>
          <cell r="F292"/>
          <cell r="G292">
            <v>7.1</v>
          </cell>
          <cell r="H292">
            <v>1.02</v>
          </cell>
          <cell r="I292">
            <v>7.242</v>
          </cell>
          <cell r="J292">
            <v>10.345714285714287</v>
          </cell>
          <cell r="K292">
            <v>2025</v>
          </cell>
          <cell r="L292"/>
          <cell r="M292">
            <v>12.07</v>
          </cell>
        </row>
        <row r="293">
          <cell r="A293" t="str">
            <v>00542415</v>
          </cell>
          <cell r="B293" t="str">
            <v>Contacteur moteur 24VDC 7,5kW 1S 1O (alternative Schneider pour 00540874)</v>
          </cell>
          <cell r="C293" t="str">
            <v>F1177600</v>
          </cell>
          <cell r="D293" t="str">
            <v>HERCO</v>
          </cell>
          <cell r="E293" t="str">
            <v>MTEPIOSX</v>
          </cell>
          <cell r="F293" t="str">
            <v>Prix Net</v>
          </cell>
          <cell r="G293">
            <v>119</v>
          </cell>
          <cell r="H293">
            <v>1.02</v>
          </cell>
          <cell r="I293">
            <v>121.38</v>
          </cell>
          <cell r="J293">
            <v>151.72499999999999</v>
          </cell>
          <cell r="K293">
            <v>2026</v>
          </cell>
          <cell r="L293"/>
          <cell r="M293">
            <v>173.4</v>
          </cell>
        </row>
        <row r="294">
          <cell r="A294" t="str">
            <v>00542509</v>
          </cell>
          <cell r="B294" t="str">
            <v>Kit de conversion Diatron 5500 vers Diatron 5500-II [HP5500]</v>
          </cell>
          <cell r="C294" t="str">
            <v>F1177600</v>
          </cell>
          <cell r="D294" t="str">
            <v>HERCO</v>
          </cell>
          <cell r="E294" t="str">
            <v>MTEPIOSM</v>
          </cell>
          <cell r="F294"/>
          <cell r="G294">
            <v>153</v>
          </cell>
          <cell r="H294">
            <v>1.02</v>
          </cell>
          <cell r="I294">
            <v>156.06</v>
          </cell>
          <cell r="J294">
            <v>222.94285714285715</v>
          </cell>
          <cell r="K294">
            <v>2026</v>
          </cell>
          <cell r="M294">
            <v>260.10000000000002</v>
          </cell>
        </row>
        <row r="295">
          <cell r="A295" t="str">
            <v>00545375</v>
          </cell>
          <cell r="B295" t="str">
            <v>Diatron 5000-II =&gt; Commander : 00542238+00542237 [osm. &lt;2017]</v>
          </cell>
          <cell r="C295" t="str">
            <v>F1177600</v>
          </cell>
          <cell r="D295" t="str">
            <v>HERCO</v>
          </cell>
          <cell r="E295" t="str">
            <v>MTEPIOSM</v>
          </cell>
          <cell r="F295"/>
          <cell r="G295" t="e">
            <v>#N/A</v>
          </cell>
          <cell r="H295">
            <v>1.02</v>
          </cell>
          <cell r="I295" t="str">
            <v>n/a</v>
          </cell>
          <cell r="J295" t="str">
            <v>n/a</v>
          </cell>
          <cell r="K295"/>
          <cell r="L295"/>
          <cell r="M295" t="str">
            <v>n/a</v>
          </cell>
        </row>
        <row r="296">
          <cell r="A296" t="str">
            <v>00545618</v>
          </cell>
          <cell r="B296" t="str">
            <v>Diatron 5500-I =&gt; Commander : 00542235+00542236+00542308 [HP5500]</v>
          </cell>
          <cell r="C296" t="str">
            <v>F1177600</v>
          </cell>
          <cell r="D296" t="str">
            <v>HERCO</v>
          </cell>
          <cell r="E296" t="str">
            <v>MTEPIOSM</v>
          </cell>
          <cell r="F296"/>
          <cell r="G296" t="e">
            <v>#N/A</v>
          </cell>
          <cell r="H296">
            <v>1.02</v>
          </cell>
          <cell r="I296" t="str">
            <v>n/a</v>
          </cell>
          <cell r="J296" t="str">
            <v>n/a</v>
          </cell>
          <cell r="K296"/>
          <cell r="L296"/>
          <cell r="M296" t="str">
            <v>n/a</v>
          </cell>
        </row>
        <row r="297">
          <cell r="A297" t="str">
            <v>00545889</v>
          </cell>
          <cell r="B297" t="str">
            <v>Boîtier déporté avec interface [HP5500]</v>
          </cell>
          <cell r="C297" t="str">
            <v>F1177600</v>
          </cell>
          <cell r="D297" t="str">
            <v>HERCO</v>
          </cell>
          <cell r="E297" t="str">
            <v>MTEPIOSM</v>
          </cell>
          <cell r="F297"/>
          <cell r="G297">
            <v>1626</v>
          </cell>
          <cell r="H297">
            <v>1.02</v>
          </cell>
          <cell r="I297">
            <v>1658.52</v>
          </cell>
          <cell r="J297">
            <v>2369.3142857142857</v>
          </cell>
          <cell r="K297">
            <v>2026</v>
          </cell>
          <cell r="L297"/>
          <cell r="M297">
            <v>2764.2000000000003</v>
          </cell>
        </row>
        <row r="298">
          <cell r="A298" t="str">
            <v>00545927</v>
          </cell>
          <cell r="B298" t="str">
            <v>Commande Diatron 5500-II complète (contient 00542307+00542236+00542308) [HP5500]</v>
          </cell>
          <cell r="C298" t="str">
            <v>F1177600</v>
          </cell>
          <cell r="D298" t="str">
            <v>HERCO</v>
          </cell>
          <cell r="E298" t="str">
            <v>MTEPIOSM</v>
          </cell>
          <cell r="F298"/>
          <cell r="G298">
            <v>3260</v>
          </cell>
          <cell r="H298">
            <v>1.02</v>
          </cell>
          <cell r="I298">
            <v>3325.2000000000003</v>
          </cell>
          <cell r="J298">
            <v>4750.2857142857147</v>
          </cell>
          <cell r="K298">
            <v>2026</v>
          </cell>
          <cell r="L298"/>
          <cell r="M298">
            <v>5542.0000000000009</v>
          </cell>
        </row>
        <row r="299">
          <cell r="A299" t="str">
            <v>00560074</v>
          </cell>
          <cell r="B299" t="str">
            <v>Tuyau bleu Limitron [n°4]</v>
          </cell>
          <cell r="C299" t="str">
            <v>F1177600</v>
          </cell>
          <cell r="D299" t="str">
            <v>HERCO</v>
          </cell>
          <cell r="E299" t="str">
            <v>MTEPIPRE</v>
          </cell>
          <cell r="F299"/>
          <cell r="G299">
            <v>4</v>
          </cell>
          <cell r="H299">
            <v>1.02</v>
          </cell>
          <cell r="I299">
            <v>4.08</v>
          </cell>
          <cell r="J299">
            <v>5.8285714285714292</v>
          </cell>
          <cell r="K299">
            <v>2026</v>
          </cell>
          <cell r="L299"/>
          <cell r="M299">
            <v>6.8000000000000007</v>
          </cell>
        </row>
        <row r="300">
          <cell r="A300" t="str">
            <v>00560189</v>
          </cell>
          <cell r="B300" t="str">
            <v>PP-Sheer grey 2000x1000x12</v>
          </cell>
          <cell r="C300" t="str">
            <v>F1177600</v>
          </cell>
          <cell r="D300" t="str">
            <v>HERCO</v>
          </cell>
          <cell r="E300" t="str">
            <v>MTEPIOSX</v>
          </cell>
          <cell r="F300" t="str">
            <v>Prix Net</v>
          </cell>
          <cell r="G300" t="e">
            <v>#N/A</v>
          </cell>
          <cell r="H300">
            <v>1.02</v>
          </cell>
          <cell r="I300" t="e">
            <v>#N/A</v>
          </cell>
          <cell r="J300" t="e">
            <v>#N/A</v>
          </cell>
          <cell r="K300"/>
          <cell r="L300"/>
          <cell r="M300" t="e">
            <v>#N/A</v>
          </cell>
        </row>
        <row r="301">
          <cell r="A301" t="str">
            <v>00546112</v>
          </cell>
          <cell r="B301" t="str">
            <v>PC compact ConnectBox DIAconnect pour Diatron 5500 (SAV)</v>
          </cell>
          <cell r="C301" t="str">
            <v>F1177600</v>
          </cell>
          <cell r="D301" t="str">
            <v>HERCO</v>
          </cell>
          <cell r="E301" t="str">
            <v>MTEPIOSM</v>
          </cell>
          <cell r="F301"/>
          <cell r="G301">
            <v>1932</v>
          </cell>
          <cell r="H301">
            <v>1.02</v>
          </cell>
          <cell r="I301">
            <v>1970.64</v>
          </cell>
          <cell r="J301">
            <v>2815.2000000000003</v>
          </cell>
          <cell r="K301">
            <v>2026</v>
          </cell>
          <cell r="L301"/>
          <cell r="M301">
            <v>3284.4</v>
          </cell>
        </row>
        <row r="302">
          <cell r="A302" t="str">
            <v>00546112pack</v>
          </cell>
          <cell r="B302" t="str">
            <v>PC compact ConnectBox DIAconnect pour Diatron 5500 (SAV) x10</v>
          </cell>
          <cell r="C302"/>
          <cell r="D302"/>
          <cell r="E302" t="str">
            <v>MTEPIOSM</v>
          </cell>
          <cell r="F302"/>
          <cell r="G302">
            <v>1448</v>
          </cell>
          <cell r="H302">
            <v>1.04</v>
          </cell>
          <cell r="I302">
            <v>1505.92</v>
          </cell>
          <cell r="J302">
            <v>2151.3142857142861</v>
          </cell>
          <cell r="K302">
            <v>2026</v>
          </cell>
          <cell r="L302"/>
          <cell r="M302">
            <v>2509.8666666666668</v>
          </cell>
        </row>
        <row r="303">
          <cell r="A303" t="str">
            <v>00580099</v>
          </cell>
          <cell r="B303"/>
          <cell r="C303" t="str">
            <v>F1177600</v>
          </cell>
          <cell r="D303" t="str">
            <v>HERCO</v>
          </cell>
          <cell r="E303"/>
          <cell r="F303"/>
          <cell r="G303">
            <v>41.6</v>
          </cell>
          <cell r="H303">
            <v>1.02</v>
          </cell>
          <cell r="I303">
            <v>42.432000000000002</v>
          </cell>
          <cell r="J303">
            <v>60.617142857142866</v>
          </cell>
          <cell r="K303">
            <v>2026</v>
          </cell>
          <cell r="L303"/>
          <cell r="M303">
            <v>70.720000000000013</v>
          </cell>
        </row>
        <row r="304">
          <cell r="A304" t="str">
            <v>00570849</v>
          </cell>
          <cell r="B304" t="str">
            <v>Connecteur noir Limitron [n°7]</v>
          </cell>
          <cell r="C304" t="str">
            <v>F1177600</v>
          </cell>
          <cell r="D304" t="str">
            <v>HERCO</v>
          </cell>
          <cell r="E304" t="str">
            <v>MTEPIPRE</v>
          </cell>
          <cell r="F304"/>
          <cell r="G304">
            <v>6</v>
          </cell>
          <cell r="H304">
            <v>1.02</v>
          </cell>
          <cell r="I304">
            <v>6.12</v>
          </cell>
          <cell r="J304">
            <v>8.7428571428571438</v>
          </cell>
          <cell r="K304">
            <v>2026</v>
          </cell>
          <cell r="M304">
            <v>10.200000000000001</v>
          </cell>
        </row>
        <row r="305">
          <cell r="A305" t="str">
            <v>00571447</v>
          </cell>
          <cell r="B305" t="str">
            <v>Manchon anti-bruit (Soupape Rieger)</v>
          </cell>
          <cell r="C305" t="str">
            <v>F1177600</v>
          </cell>
          <cell r="D305" t="str">
            <v>HERCO</v>
          </cell>
          <cell r="E305" t="str">
            <v>MTEPIOSM</v>
          </cell>
          <cell r="F305"/>
          <cell r="G305">
            <v>140</v>
          </cell>
          <cell r="H305"/>
          <cell r="I305"/>
          <cell r="J305"/>
          <cell r="K305">
            <v>2024</v>
          </cell>
          <cell r="L305"/>
          <cell r="M305"/>
        </row>
        <row r="306">
          <cell r="A306" t="str">
            <v>00571506</v>
          </cell>
          <cell r="B306" t="str">
            <v>Manchon anti-bruit (Soupape Kieselmann)</v>
          </cell>
          <cell r="C306" t="str">
            <v>F1177600</v>
          </cell>
          <cell r="D306" t="str">
            <v>HERCO</v>
          </cell>
          <cell r="E306" t="str">
            <v>MTEPIOSM</v>
          </cell>
          <cell r="F306"/>
          <cell r="G306">
            <v>230</v>
          </cell>
          <cell r="H306"/>
          <cell r="I306"/>
          <cell r="J306"/>
          <cell r="K306">
            <v>2024</v>
          </cell>
          <cell r="M306"/>
        </row>
        <row r="307">
          <cell r="A307" t="str">
            <v>00580099</v>
          </cell>
          <cell r="B307" t="str">
            <v>Robinet à boisseau sphérique /// NO LONGUEUR AVAILABLE ///</v>
          </cell>
          <cell r="C307" t="str">
            <v>F1177600</v>
          </cell>
          <cell r="D307" t="str">
            <v>HERCO</v>
          </cell>
          <cell r="E307" t="str">
            <v>MTEPIPRE</v>
          </cell>
          <cell r="F307"/>
          <cell r="G307">
            <v>41.6</v>
          </cell>
          <cell r="H307">
            <v>1.02</v>
          </cell>
          <cell r="I307">
            <v>42.432000000000002</v>
          </cell>
          <cell r="J307">
            <v>60.617142857142866</v>
          </cell>
          <cell r="K307">
            <v>2026</v>
          </cell>
          <cell r="L307"/>
          <cell r="M307">
            <v>70.720000000000013</v>
          </cell>
        </row>
        <row r="308">
          <cell r="A308" t="str">
            <v>00580160</v>
          </cell>
          <cell r="B308" t="str">
            <v>Débitmètre 160-1600 L/h DN25 (FI04) [osmoseur &lt;2017]</v>
          </cell>
          <cell r="C308" t="str">
            <v>F1177600</v>
          </cell>
          <cell r="D308" t="str">
            <v>HERCO</v>
          </cell>
          <cell r="E308" t="str">
            <v>MTEPIOSM</v>
          </cell>
          <cell r="F308"/>
          <cell r="G308">
            <v>301</v>
          </cell>
          <cell r="H308">
            <v>1.02</v>
          </cell>
          <cell r="I308">
            <v>307.02</v>
          </cell>
          <cell r="J308">
            <v>438.6</v>
          </cell>
          <cell r="K308">
            <v>2026</v>
          </cell>
          <cell r="L308"/>
          <cell r="M308">
            <v>511.7</v>
          </cell>
        </row>
        <row r="309">
          <cell r="A309" t="str">
            <v>00580193</v>
          </cell>
          <cell r="B309" t="str">
            <v>Débitmètre  [osmoseur &lt;2017]</v>
          </cell>
          <cell r="C309" t="str">
            <v>F1177600</v>
          </cell>
          <cell r="D309" t="str">
            <v>HERCO</v>
          </cell>
          <cell r="E309" t="str">
            <v>MTEPIOSM</v>
          </cell>
          <cell r="F309"/>
          <cell r="G309">
            <v>336</v>
          </cell>
          <cell r="H309">
            <v>1.02</v>
          </cell>
          <cell r="I309">
            <v>342.72</v>
          </cell>
          <cell r="J309">
            <v>489.60000000000008</v>
          </cell>
          <cell r="K309">
            <v>2026</v>
          </cell>
          <cell r="L309"/>
          <cell r="M309">
            <v>571.20000000000005</v>
          </cell>
        </row>
        <row r="310">
          <cell r="A310" t="str">
            <v>00600067</v>
          </cell>
          <cell r="B310" t="str">
            <v>Pressostat FF4-30 (PR03) [osmoseur &lt;2017]</v>
          </cell>
          <cell r="C310" t="str">
            <v>F1177600</v>
          </cell>
          <cell r="D310" t="str">
            <v>HERCO</v>
          </cell>
          <cell r="E310" t="str">
            <v>MTEPIOSM</v>
          </cell>
          <cell r="F310"/>
          <cell r="G310">
            <v>334</v>
          </cell>
          <cell r="H310">
            <v>1.02</v>
          </cell>
          <cell r="I310">
            <v>340.68</v>
          </cell>
          <cell r="J310">
            <v>486.68571428571431</v>
          </cell>
          <cell r="K310">
            <v>2026</v>
          </cell>
          <cell r="M310">
            <v>567.80000000000007</v>
          </cell>
        </row>
        <row r="311">
          <cell r="A311" t="str">
            <v>00610037</v>
          </cell>
          <cell r="B311" t="str">
            <v>Manchon de support [osmoseur &lt;2017]</v>
          </cell>
          <cell r="C311" t="str">
            <v>F1177600</v>
          </cell>
          <cell r="D311" t="str">
            <v>HERCO</v>
          </cell>
          <cell r="E311" t="str">
            <v>MTEPIOSM</v>
          </cell>
          <cell r="F311"/>
          <cell r="G311">
            <v>3.5</v>
          </cell>
          <cell r="H311">
            <v>1.02</v>
          </cell>
          <cell r="I311">
            <v>3.5700000000000003</v>
          </cell>
          <cell r="J311">
            <v>5.1000000000000005</v>
          </cell>
          <cell r="K311">
            <v>2026</v>
          </cell>
          <cell r="M311">
            <v>5.9500000000000011</v>
          </cell>
        </row>
        <row r="312">
          <cell r="A312" t="str">
            <v>00610124</v>
          </cell>
          <cell r="B312" t="str">
            <v>Raccord droit [osmoseur &lt;2017]</v>
          </cell>
          <cell r="C312" t="str">
            <v>F1177600</v>
          </cell>
          <cell r="D312" t="str">
            <v>HERCO</v>
          </cell>
          <cell r="E312" t="str">
            <v>MTEPIOSM</v>
          </cell>
          <cell r="F312"/>
          <cell r="G312">
            <v>65</v>
          </cell>
          <cell r="H312">
            <v>1.02</v>
          </cell>
          <cell r="I312">
            <v>66.3</v>
          </cell>
          <cell r="J312">
            <v>94.714285714285722</v>
          </cell>
          <cell r="K312">
            <v>2026</v>
          </cell>
          <cell r="L312"/>
          <cell r="M312">
            <v>110.5</v>
          </cell>
        </row>
        <row r="313">
          <cell r="A313" t="str">
            <v>00610214</v>
          </cell>
          <cell r="B313" t="str">
            <v>Raccord à vis coudé [osmoseur &lt;2017]</v>
          </cell>
          <cell r="C313" t="str">
            <v>F1177600</v>
          </cell>
          <cell r="D313" t="str">
            <v>HERCO</v>
          </cell>
          <cell r="E313" t="str">
            <v>MTEPIOSM</v>
          </cell>
          <cell r="F313"/>
          <cell r="G313">
            <v>109</v>
          </cell>
          <cell r="H313">
            <v>1.02</v>
          </cell>
          <cell r="I313">
            <v>111.18</v>
          </cell>
          <cell r="J313">
            <v>158.82857142857145</v>
          </cell>
          <cell r="K313">
            <v>2026</v>
          </cell>
          <cell r="L313"/>
          <cell r="M313">
            <v>185.3</v>
          </cell>
        </row>
        <row r="314">
          <cell r="A314" t="str">
            <v>00610608</v>
          </cell>
          <cell r="B314" t="str">
            <v>Raccord inox femelle perméat DN6 1/4'' (boucle) [osmoseur &lt;2017]</v>
          </cell>
          <cell r="C314" t="str">
            <v>F1177600</v>
          </cell>
          <cell r="D314" t="str">
            <v>HERCO</v>
          </cell>
          <cell r="E314" t="str">
            <v>MTEPIOSM</v>
          </cell>
          <cell r="F314"/>
          <cell r="G314">
            <v>126</v>
          </cell>
          <cell r="H314">
            <v>1.02</v>
          </cell>
          <cell r="I314">
            <v>128.52000000000001</v>
          </cell>
          <cell r="J314">
            <v>183.60000000000002</v>
          </cell>
          <cell r="K314">
            <v>2026</v>
          </cell>
          <cell r="M314">
            <v>214.20000000000002</v>
          </cell>
        </row>
        <row r="315">
          <cell r="A315" t="str">
            <v>00610619</v>
          </cell>
          <cell r="B315" t="str">
            <v>Raccord inox mâle perméat DN6 1/4'' (entrée d'eau boucle) [osmoseur &lt;2017]</v>
          </cell>
          <cell r="C315" t="str">
            <v>F1177600</v>
          </cell>
          <cell r="D315" t="str">
            <v>HERCO</v>
          </cell>
          <cell r="E315" t="str">
            <v>MTEPIOSM</v>
          </cell>
          <cell r="F315"/>
          <cell r="G315">
            <v>112</v>
          </cell>
          <cell r="H315">
            <v>1.02</v>
          </cell>
          <cell r="I315">
            <v>114.24000000000001</v>
          </cell>
          <cell r="J315">
            <v>163.20000000000002</v>
          </cell>
          <cell r="K315">
            <v>2026</v>
          </cell>
          <cell r="M315">
            <v>190.40000000000003</v>
          </cell>
        </row>
        <row r="316">
          <cell r="A316" t="str">
            <v>00610643</v>
          </cell>
          <cell r="B316" t="str">
            <v>Bague d'étanchéité N°5 Silicone DN20 (RV04) [Hercotherm] (DV01-DV03) [2000P/H-]</v>
          </cell>
          <cell r="C316" t="str">
            <v>F1177600</v>
          </cell>
          <cell r="D316" t="str">
            <v>HERCO</v>
          </cell>
          <cell r="E316" t="str">
            <v>MTEPIOSM</v>
          </cell>
          <cell r="F316"/>
          <cell r="G316">
            <v>2.0499999999999998</v>
          </cell>
          <cell r="H316">
            <v>1.02</v>
          </cell>
          <cell r="I316">
            <v>2.0909999999999997</v>
          </cell>
          <cell r="J316">
            <v>2.9871428571428571</v>
          </cell>
          <cell r="K316">
            <v>2026</v>
          </cell>
          <cell r="M316">
            <v>3.4849999999999999</v>
          </cell>
        </row>
        <row r="317">
          <cell r="A317" t="str">
            <v>00610651</v>
          </cell>
          <cell r="B317" t="str">
            <v>Bague d'étanchéité N°5 Silicone DN25 (DV01-DV03) [HP5500 2500 P/H et +]</v>
          </cell>
          <cell r="C317" t="str">
            <v>F1177600</v>
          </cell>
          <cell r="D317" t="str">
            <v>HERCO</v>
          </cell>
          <cell r="E317" t="str">
            <v>MTEPIOSM</v>
          </cell>
          <cell r="F317"/>
          <cell r="G317">
            <v>3.5</v>
          </cell>
          <cell r="H317">
            <v>1.02</v>
          </cell>
          <cell r="I317">
            <v>3.5700000000000003</v>
          </cell>
          <cell r="J317">
            <v>5.1000000000000005</v>
          </cell>
          <cell r="K317">
            <v>2026</v>
          </cell>
          <cell r="M317">
            <v>5.9500000000000011</v>
          </cell>
        </row>
        <row r="318">
          <cell r="A318" t="str">
            <v>00610735</v>
          </cell>
          <cell r="B318" t="str">
            <v>Bague d'étanchéité N°5 Silicone DN32 (RV04) [Hercotherm Ring]</v>
          </cell>
          <cell r="C318" t="str">
            <v>F1177600</v>
          </cell>
          <cell r="D318" t="str">
            <v>HERCO</v>
          </cell>
          <cell r="E318" t="str">
            <v>MTEPIOSM</v>
          </cell>
          <cell r="F318"/>
          <cell r="G318">
            <v>2.7</v>
          </cell>
          <cell r="H318">
            <v>1.02</v>
          </cell>
          <cell r="I318">
            <v>2.7540000000000004</v>
          </cell>
          <cell r="J318">
            <v>3.9342857142857151</v>
          </cell>
          <cell r="K318">
            <v>2026</v>
          </cell>
          <cell r="M318">
            <v>4.5900000000000007</v>
          </cell>
        </row>
        <row r="319">
          <cell r="A319" t="str">
            <v>00610950</v>
          </cell>
          <cell r="B319" t="str">
            <v>Écrou hexagonal en acier inox 1 1/2'' (mantient transmetteur de niveau 00630253)</v>
          </cell>
          <cell r="C319" t="str">
            <v>F1177600</v>
          </cell>
          <cell r="D319" t="str">
            <v>HERCO</v>
          </cell>
          <cell r="E319" t="str">
            <v>MTEPIOSM</v>
          </cell>
          <cell r="F319"/>
          <cell r="G319">
            <v>35.75</v>
          </cell>
          <cell r="H319">
            <v>1.02</v>
          </cell>
          <cell r="I319">
            <v>36.465000000000003</v>
          </cell>
          <cell r="J319">
            <v>52.092857142857149</v>
          </cell>
          <cell r="K319">
            <v>2026</v>
          </cell>
          <cell r="M319">
            <v>60.775000000000006</v>
          </cell>
        </row>
        <row r="320">
          <cell r="A320" t="str">
            <v>00610980</v>
          </cell>
          <cell r="B320" t="str">
            <v>Raccord inox/PVDF DN4 SL06 rond femelle pour distri concentré côté générateur</v>
          </cell>
          <cell r="C320" t="str">
            <v>F1177600</v>
          </cell>
          <cell r="D320" t="str">
            <v>HERCO</v>
          </cell>
          <cell r="E320" t="str">
            <v>MTEPIOSM</v>
          </cell>
          <cell r="F320"/>
          <cell r="G320">
            <v>133</v>
          </cell>
          <cell r="H320">
            <v>1.02</v>
          </cell>
          <cell r="I320">
            <v>135.66</v>
          </cell>
          <cell r="J320">
            <v>193.8</v>
          </cell>
          <cell r="K320">
            <v>2026</v>
          </cell>
          <cell r="L320"/>
          <cell r="M320">
            <v>226.1</v>
          </cell>
        </row>
        <row r="321">
          <cell r="A321" t="str">
            <v>00611032</v>
          </cell>
          <cell r="B321" t="str">
            <v>Clapet avec ressort</v>
          </cell>
          <cell r="C321" t="str">
            <v>F1177600</v>
          </cell>
          <cell r="D321" t="str">
            <v>HERCO</v>
          </cell>
          <cell r="E321" t="str">
            <v>MTEPIOSM</v>
          </cell>
          <cell r="F321"/>
          <cell r="G321">
            <v>12</v>
          </cell>
          <cell r="H321">
            <v>1.02</v>
          </cell>
          <cell r="I321">
            <v>12.24</v>
          </cell>
          <cell r="J321">
            <v>17.485714285714288</v>
          </cell>
          <cell r="K321">
            <v>2026</v>
          </cell>
          <cell r="L321"/>
          <cell r="M321">
            <v>20.400000000000002</v>
          </cell>
        </row>
        <row r="322">
          <cell r="A322" t="str">
            <v>00611038</v>
          </cell>
          <cell r="B322" t="str">
            <v>Raccord inox DN4 1/4''AG SL07 VITON pour distri concentré côté console</v>
          </cell>
          <cell r="C322" t="str">
            <v>F1177600</v>
          </cell>
          <cell r="D322" t="str">
            <v>HERCO</v>
          </cell>
          <cell r="E322" t="str">
            <v>MTEPIOSM</v>
          </cell>
          <cell r="F322"/>
          <cell r="G322">
            <v>115</v>
          </cell>
          <cell r="H322">
            <v>1.02</v>
          </cell>
          <cell r="I322">
            <v>117.3</v>
          </cell>
          <cell r="J322">
            <v>167.57142857142858</v>
          </cell>
          <cell r="K322">
            <v>2026</v>
          </cell>
          <cell r="M322">
            <v>195.5</v>
          </cell>
        </row>
        <row r="323">
          <cell r="A323" t="str">
            <v>00620001</v>
          </cell>
          <cell r="B323" t="str">
            <v>Pressostat FF4-12 (PR07) [osmoseur &lt;2017]</v>
          </cell>
          <cell r="C323" t="str">
            <v>F1177600</v>
          </cell>
          <cell r="D323" t="str">
            <v>HERCO</v>
          </cell>
          <cell r="E323" t="str">
            <v>MTEPIOSM</v>
          </cell>
          <cell r="F323"/>
          <cell r="G323">
            <v>274</v>
          </cell>
          <cell r="H323">
            <v>1.02</v>
          </cell>
          <cell r="I323">
            <v>279.48</v>
          </cell>
          <cell r="J323">
            <v>399.25714285714292</v>
          </cell>
          <cell r="K323">
            <v>2026</v>
          </cell>
          <cell r="M323">
            <v>465.80000000000007</v>
          </cell>
        </row>
        <row r="324">
          <cell r="A324" t="str">
            <v>00630078</v>
          </cell>
          <cell r="B324" t="str">
            <v>Manomètre 1-10 bar [osmoseur &lt;2017]</v>
          </cell>
          <cell r="C324" t="str">
            <v>F1177600</v>
          </cell>
          <cell r="D324" t="str">
            <v>HERCO</v>
          </cell>
          <cell r="E324" t="str">
            <v>MTEPIOSX</v>
          </cell>
          <cell r="F324" t="str">
            <v>Prix Net</v>
          </cell>
          <cell r="G324">
            <v>144</v>
          </cell>
          <cell r="H324">
            <v>1.02</v>
          </cell>
          <cell r="I324">
            <v>146.88</v>
          </cell>
          <cell r="J324">
            <v>183.6</v>
          </cell>
          <cell r="K324">
            <v>2026</v>
          </cell>
          <cell r="L324"/>
          <cell r="M324">
            <v>209.82857142857142</v>
          </cell>
        </row>
        <row r="325">
          <cell r="A325" t="str">
            <v>00630110</v>
          </cell>
          <cell r="B325" t="str">
            <v>Capteur électronique débitmètre SE30/8030 (FI01 à FI05)</v>
          </cell>
          <cell r="C325" t="str">
            <v>F1177600</v>
          </cell>
          <cell r="D325" t="str">
            <v>HERCO</v>
          </cell>
          <cell r="E325" t="str">
            <v>MTEPIOSX</v>
          </cell>
          <cell r="F325" t="str">
            <v>Prix Net</v>
          </cell>
          <cell r="G325">
            <v>308</v>
          </cell>
          <cell r="H325">
            <v>1.02</v>
          </cell>
          <cell r="I325">
            <v>314.16000000000003</v>
          </cell>
          <cell r="J325">
            <v>392.7</v>
          </cell>
          <cell r="K325">
            <v>2026</v>
          </cell>
          <cell r="L325"/>
          <cell r="M325">
            <v>448.80000000000007</v>
          </cell>
        </row>
        <row r="326">
          <cell r="A326" t="str">
            <v>00630111</v>
          </cell>
          <cell r="B326" t="str">
            <v>Armature compacte capteur DN20  350-5000 l/h (Fl01-02-03)</v>
          </cell>
          <cell r="C326" t="str">
            <v>F1177600</v>
          </cell>
          <cell r="D326" t="str">
            <v>HERCO</v>
          </cell>
          <cell r="E326" t="str">
            <v>MTEPIOSM</v>
          </cell>
          <cell r="F326"/>
          <cell r="G326">
            <v>585</v>
          </cell>
          <cell r="H326">
            <v>1.02</v>
          </cell>
          <cell r="I326">
            <v>596.70000000000005</v>
          </cell>
          <cell r="J326">
            <v>852.42857142857156</v>
          </cell>
          <cell r="K326">
            <v>2026</v>
          </cell>
          <cell r="M326">
            <v>994.50000000000011</v>
          </cell>
        </row>
        <row r="327">
          <cell r="A327" t="str">
            <v>00630118</v>
          </cell>
          <cell r="B327" t="str">
            <v>Armature compacte capteur DN15  150-2500 l/h (FI01 à FI05)</v>
          </cell>
          <cell r="C327" t="str">
            <v>F1177600</v>
          </cell>
          <cell r="D327" t="str">
            <v>HERCO</v>
          </cell>
          <cell r="E327" t="str">
            <v>MTEPIOSM</v>
          </cell>
          <cell r="F327"/>
          <cell r="G327">
            <v>661</v>
          </cell>
          <cell r="H327">
            <v>1.02</v>
          </cell>
          <cell r="I327">
            <v>674.22</v>
          </cell>
          <cell r="J327">
            <v>963.17142857142869</v>
          </cell>
          <cell r="K327">
            <v>2026</v>
          </cell>
          <cell r="M327">
            <v>1123.7</v>
          </cell>
        </row>
        <row r="328">
          <cell r="A328" t="str">
            <v>00630172</v>
          </cell>
          <cell r="B328" t="str">
            <v>Compteur turbine Qmax=10m3/h TWZ-K1" (VBS)</v>
          </cell>
          <cell r="C328" t="str">
            <v>F1177600</v>
          </cell>
          <cell r="D328" t="str">
            <v>HERCO</v>
          </cell>
          <cell r="E328" t="str">
            <v>MTEPIOSM</v>
          </cell>
          <cell r="F328"/>
          <cell r="G328">
            <v>172</v>
          </cell>
          <cell r="H328">
            <v>1.02</v>
          </cell>
          <cell r="I328">
            <v>175.44</v>
          </cell>
          <cell r="J328">
            <v>250.62857142857143</v>
          </cell>
          <cell r="K328">
            <v>2026</v>
          </cell>
          <cell r="M328">
            <v>292.40000000000003</v>
          </cell>
        </row>
        <row r="329">
          <cell r="A329" t="str">
            <v>00630253</v>
          </cell>
          <cell r="B329" t="str">
            <v>Transmetteur de niveau 3 SP (L01-L03)</v>
          </cell>
          <cell r="C329" t="str">
            <v>F1177600</v>
          </cell>
          <cell r="D329" t="str">
            <v>HERCO</v>
          </cell>
          <cell r="E329" t="str">
            <v>MTEPIOSM</v>
          </cell>
          <cell r="F329"/>
          <cell r="G329">
            <v>516</v>
          </cell>
          <cell r="H329">
            <v>1.02</v>
          </cell>
          <cell r="I329">
            <v>526.32000000000005</v>
          </cell>
          <cell r="J329">
            <v>751.88571428571436</v>
          </cell>
          <cell r="K329">
            <v>2026</v>
          </cell>
          <cell r="M329">
            <v>877.20000000000016</v>
          </cell>
        </row>
        <row r="330">
          <cell r="A330" t="str">
            <v>00630320</v>
          </cell>
          <cell r="B330" t="str">
            <v>Contacteur de niveau</v>
          </cell>
          <cell r="C330" t="str">
            <v>F1177600</v>
          </cell>
          <cell r="D330" t="str">
            <v>HERCO</v>
          </cell>
          <cell r="E330" t="str">
            <v>MTEPIOSM</v>
          </cell>
          <cell r="F330"/>
          <cell r="G330">
            <v>216</v>
          </cell>
          <cell r="H330">
            <v>1.02</v>
          </cell>
          <cell r="I330">
            <v>220.32</v>
          </cell>
          <cell r="J330">
            <v>314.74285714285713</v>
          </cell>
          <cell r="K330">
            <v>2026</v>
          </cell>
          <cell r="M330">
            <v>367.2</v>
          </cell>
        </row>
        <row r="331">
          <cell r="A331" t="str">
            <v>00630330</v>
          </cell>
          <cell r="B331" t="str">
            <v>Armature compacte capteur DN25  500-7500 l/h (Fl04)</v>
          </cell>
          <cell r="C331" t="str">
            <v>F1177600</v>
          </cell>
          <cell r="D331" t="str">
            <v>HERCO</v>
          </cell>
          <cell r="E331" t="str">
            <v>MTEPIOSM</v>
          </cell>
          <cell r="F331"/>
          <cell r="G331">
            <v>623</v>
          </cell>
          <cell r="H331">
            <v>1.02</v>
          </cell>
          <cell r="I331">
            <v>635.46</v>
          </cell>
          <cell r="J331">
            <v>907.80000000000007</v>
          </cell>
          <cell r="K331">
            <v>2026</v>
          </cell>
          <cell r="M331">
            <v>1059.1000000000001</v>
          </cell>
        </row>
        <row r="332">
          <cell r="A332" t="str">
            <v>00630338</v>
          </cell>
          <cell r="B332" t="str">
            <v>Transmetteur TMT127 pour PT100 [Hercotherm Ring]</v>
          </cell>
          <cell r="C332" t="str">
            <v>F1177600</v>
          </cell>
          <cell r="D332" t="str">
            <v>HERCO</v>
          </cell>
          <cell r="E332" t="str">
            <v>MTEPIOSM</v>
          </cell>
          <cell r="F332"/>
          <cell r="G332">
            <v>258</v>
          </cell>
          <cell r="H332">
            <v>1.02</v>
          </cell>
          <cell r="I332">
            <v>263.16000000000003</v>
          </cell>
          <cell r="J332">
            <v>375.94285714285718</v>
          </cell>
          <cell r="K332">
            <v>2026</v>
          </cell>
          <cell r="M332">
            <v>438.60000000000008</v>
          </cell>
        </row>
        <row r="333">
          <cell r="A333" t="str">
            <v>00630384</v>
          </cell>
          <cell r="B333" t="str">
            <v>Capteur de pression [osmoseur &lt;2017]</v>
          </cell>
          <cell r="C333" t="str">
            <v>F1177600</v>
          </cell>
          <cell r="D333" t="str">
            <v>HERCO</v>
          </cell>
          <cell r="E333" t="str">
            <v>MTEPIOSM</v>
          </cell>
          <cell r="F333"/>
          <cell r="G333">
            <v>281</v>
          </cell>
          <cell r="H333">
            <v>1.02</v>
          </cell>
          <cell r="I333">
            <v>286.62</v>
          </cell>
          <cell r="J333">
            <v>409.45714285714291</v>
          </cell>
          <cell r="K333">
            <v>2026</v>
          </cell>
          <cell r="M333">
            <v>477.70000000000005</v>
          </cell>
        </row>
        <row r="334">
          <cell r="A334" t="str">
            <v>00630419</v>
          </cell>
          <cell r="B334" t="str">
            <v>Capteur de pression 0-10bar, 4-20mA, 1/2'' mâle (VBS)</v>
          </cell>
          <cell r="C334" t="str">
            <v>F1177600</v>
          </cell>
          <cell r="D334" t="str">
            <v>HERCO</v>
          </cell>
          <cell r="E334" t="str">
            <v>MTEPIOSM</v>
          </cell>
          <cell r="F334"/>
          <cell r="G334">
            <v>85</v>
          </cell>
          <cell r="H334">
            <v>1.02</v>
          </cell>
          <cell r="I334">
            <v>86.7</v>
          </cell>
          <cell r="J334">
            <v>123.85714285714288</v>
          </cell>
          <cell r="K334">
            <v>2026</v>
          </cell>
          <cell r="M334">
            <v>144.5</v>
          </cell>
        </row>
        <row r="335">
          <cell r="A335" t="str">
            <v>00630430</v>
          </cell>
          <cell r="B335" t="str">
            <v>Armature compacte capteur DN8  50-750 l/h (FI01-FI02 FI03-FI05)</v>
          </cell>
          <cell r="C335" t="str">
            <v>F1177600</v>
          </cell>
          <cell r="D335" t="str">
            <v>HERCO</v>
          </cell>
          <cell r="E335" t="str">
            <v>MTEPIOSM</v>
          </cell>
          <cell r="F335"/>
          <cell r="G335">
            <v>575</v>
          </cell>
          <cell r="H335">
            <v>1.02</v>
          </cell>
          <cell r="I335">
            <v>586.5</v>
          </cell>
          <cell r="J335">
            <v>837.85714285714289</v>
          </cell>
          <cell r="K335">
            <v>2026</v>
          </cell>
          <cell r="M335">
            <v>977.5</v>
          </cell>
        </row>
        <row r="336">
          <cell r="A336" t="str">
            <v>00630546</v>
          </cell>
          <cell r="B336" t="str">
            <v>Manomètre 0-10 bar [osmoseur &lt;2017]</v>
          </cell>
          <cell r="C336" t="str">
            <v>F1177600</v>
          </cell>
          <cell r="D336" t="str">
            <v>HERCO</v>
          </cell>
          <cell r="E336" t="str">
            <v>MTEPIOSM</v>
          </cell>
          <cell r="F336"/>
          <cell r="G336">
            <v>112</v>
          </cell>
          <cell r="H336">
            <v>1.02</v>
          </cell>
          <cell r="I336">
            <v>114.24000000000001</v>
          </cell>
          <cell r="J336">
            <v>163.20000000000002</v>
          </cell>
          <cell r="K336">
            <v>2026</v>
          </cell>
          <cell r="M336">
            <v>190.40000000000003</v>
          </cell>
        </row>
        <row r="337">
          <cell r="A337" t="str">
            <v>00630551</v>
          </cell>
          <cell r="B337" t="str">
            <v>Capteur de pression (PR0x) [HP5500]</v>
          </cell>
          <cell r="C337" t="str">
            <v>F1177600</v>
          </cell>
          <cell r="D337" t="str">
            <v>HERCO</v>
          </cell>
          <cell r="E337" t="str">
            <v>MTEPIOSM</v>
          </cell>
          <cell r="F337"/>
          <cell r="G337">
            <v>83</v>
          </cell>
          <cell r="H337">
            <v>1.02</v>
          </cell>
          <cell r="I337">
            <v>84.66</v>
          </cell>
          <cell r="J337">
            <v>120.94285714285715</v>
          </cell>
          <cell r="K337">
            <v>2026</v>
          </cell>
          <cell r="M337">
            <v>141.1</v>
          </cell>
        </row>
        <row r="338">
          <cell r="A338" t="str">
            <v>00630619</v>
          </cell>
          <cell r="B338" t="str">
            <v>Raccord d'ailette (FI01 à FI05) [HP5500]</v>
          </cell>
          <cell r="C338" t="str">
            <v>F1177600</v>
          </cell>
          <cell r="D338" t="str">
            <v>HERCO</v>
          </cell>
          <cell r="E338" t="str">
            <v>MTEPIOSM</v>
          </cell>
          <cell r="F338"/>
          <cell r="G338">
            <v>388</v>
          </cell>
          <cell r="H338">
            <v>1.02</v>
          </cell>
          <cell r="I338">
            <v>395.76</v>
          </cell>
          <cell r="J338">
            <v>565.37142857142862</v>
          </cell>
          <cell r="K338">
            <v>2026</v>
          </cell>
          <cell r="M338">
            <v>659.6</v>
          </cell>
        </row>
        <row r="339">
          <cell r="A339" t="str">
            <v>00640037</v>
          </cell>
          <cell r="B339" t="str">
            <v>Régulateur bimétal (W1/W12) [HP5500] (W2/W3) [Hercotherm Ring]</v>
          </cell>
          <cell r="C339" t="str">
            <v>F1177600</v>
          </cell>
          <cell r="D339" t="str">
            <v>HERCO</v>
          </cell>
          <cell r="E339" t="str">
            <v>MTEPIOSM</v>
          </cell>
          <cell r="F339"/>
          <cell r="G339">
            <v>81</v>
          </cell>
          <cell r="H339">
            <v>1.02</v>
          </cell>
          <cell r="I339">
            <v>82.62</v>
          </cell>
          <cell r="J339">
            <v>118.02857142857144</v>
          </cell>
          <cell r="K339">
            <v>2026</v>
          </cell>
          <cell r="M339">
            <v>137.70000000000002</v>
          </cell>
        </row>
        <row r="340">
          <cell r="A340" t="str">
            <v>00640057</v>
          </cell>
          <cell r="B340" t="str">
            <v>Résistance chauffante 1", d26,9- 3 kW/230V (résistance osmoseur W12) raccords vissés</v>
          </cell>
          <cell r="C340" t="str">
            <v>F1177600</v>
          </cell>
          <cell r="D340" t="str">
            <v>HERCO</v>
          </cell>
          <cell r="E340" t="str">
            <v>MTEPIOSM</v>
          </cell>
          <cell r="F340"/>
          <cell r="G340">
            <v>751</v>
          </cell>
          <cell r="H340">
            <v>1.02</v>
          </cell>
          <cell r="I340">
            <v>766.02</v>
          </cell>
          <cell r="J340">
            <v>1094.3142857142857</v>
          </cell>
          <cell r="K340">
            <v>2026</v>
          </cell>
          <cell r="M340">
            <v>1276.7</v>
          </cell>
        </row>
        <row r="341">
          <cell r="A341" t="str">
            <v>00640058</v>
          </cell>
          <cell r="B341" t="str">
            <v>Résistance chauffante monobloc 1", d26,9- 9 kW/230V (W1) / (W2) [Hercotherm Ring] raccords vissés (remplace 00465347)</v>
          </cell>
          <cell r="C341" t="str">
            <v>F1177600</v>
          </cell>
          <cell r="D341" t="str">
            <v>HERCO</v>
          </cell>
          <cell r="E341" t="str">
            <v>MTEPIOSM</v>
          </cell>
          <cell r="F341"/>
          <cell r="G341">
            <v>1641</v>
          </cell>
          <cell r="H341">
            <v>1.02</v>
          </cell>
          <cell r="I341">
            <v>1673.82</v>
          </cell>
          <cell r="J341">
            <v>2391.1714285714288</v>
          </cell>
          <cell r="K341">
            <v>2026</v>
          </cell>
          <cell r="M341">
            <v>2789.7</v>
          </cell>
        </row>
        <row r="342">
          <cell r="A342" t="str">
            <v>00650002</v>
          </cell>
          <cell r="B342" t="str">
            <v>Joint torique pour filetage D20 [osmoseur &lt;2017]</v>
          </cell>
          <cell r="C342" t="str">
            <v>F1177600</v>
          </cell>
          <cell r="D342" t="str">
            <v>HERCO</v>
          </cell>
          <cell r="E342" t="str">
            <v>MTEPIOSM</v>
          </cell>
          <cell r="F342"/>
          <cell r="G342">
            <v>2.0499999999999998</v>
          </cell>
          <cell r="H342">
            <v>1.02</v>
          </cell>
          <cell r="I342">
            <v>2.0909999999999997</v>
          </cell>
          <cell r="J342">
            <v>2.9871428571428571</v>
          </cell>
          <cell r="K342">
            <v>2026</v>
          </cell>
          <cell r="M342">
            <v>3.4849999999999999</v>
          </cell>
        </row>
        <row r="343">
          <cell r="A343" t="str">
            <v>00650003</v>
          </cell>
          <cell r="B343" t="str">
            <v>Joint torique 28,17 x 3,53 pour filetage D25 [osmoseur &lt;2017]</v>
          </cell>
          <cell r="C343" t="str">
            <v>F1177600</v>
          </cell>
          <cell r="D343" t="str">
            <v>HERCO</v>
          </cell>
          <cell r="E343" t="str">
            <v>MTEPIOSM</v>
          </cell>
          <cell r="F343"/>
          <cell r="G343">
            <v>2.2000000000000002</v>
          </cell>
          <cell r="H343">
            <v>1.02</v>
          </cell>
          <cell r="I343">
            <v>2.2440000000000002</v>
          </cell>
          <cell r="J343">
            <v>3.2057142857142864</v>
          </cell>
          <cell r="K343">
            <v>2026</v>
          </cell>
          <cell r="M343">
            <v>3.7400000000000007</v>
          </cell>
        </row>
        <row r="344">
          <cell r="A344" t="str">
            <v>00650004</v>
          </cell>
          <cell r="B344" t="str">
            <v>Joint torique filetage D32/PVC [osmoseur &lt;2017]</v>
          </cell>
          <cell r="C344" t="str">
            <v>F1177600</v>
          </cell>
          <cell r="D344" t="str">
            <v>HERCO</v>
          </cell>
          <cell r="E344" t="str">
            <v>MTEPIOSM</v>
          </cell>
          <cell r="F344"/>
          <cell r="G344">
            <v>3.7</v>
          </cell>
          <cell r="H344">
            <v>1.02</v>
          </cell>
          <cell r="I344">
            <v>3.7740000000000005</v>
          </cell>
          <cell r="J344">
            <v>5.3914285714285723</v>
          </cell>
          <cell r="K344">
            <v>2026</v>
          </cell>
          <cell r="M344">
            <v>6.2900000000000009</v>
          </cell>
        </row>
        <row r="345">
          <cell r="A345" t="str">
            <v>00650006</v>
          </cell>
          <cell r="B345" t="str">
            <v>Joint torique 46,99 x 3,53 filetage D50 [osmoseur &lt;2017]</v>
          </cell>
          <cell r="C345" t="str">
            <v>F1177600</v>
          </cell>
          <cell r="D345" t="str">
            <v>HERCO</v>
          </cell>
          <cell r="E345" t="str">
            <v>MTEPIOSM</v>
          </cell>
          <cell r="F345"/>
          <cell r="G345">
            <v>4.9000000000000004</v>
          </cell>
          <cell r="H345">
            <v>1.02</v>
          </cell>
          <cell r="I345">
            <v>4.9980000000000002</v>
          </cell>
          <cell r="J345">
            <v>7.1400000000000006</v>
          </cell>
          <cell r="K345">
            <v>2026</v>
          </cell>
          <cell r="M345">
            <v>8.33</v>
          </cell>
        </row>
        <row r="346">
          <cell r="A346" t="str">
            <v>00650078</v>
          </cell>
          <cell r="B346" t="str">
            <v>Joint plat pour filetage D20 EDPM [osmoseur &lt;2017]</v>
          </cell>
          <cell r="C346" t="str">
            <v>F1177600</v>
          </cell>
          <cell r="D346" t="str">
            <v>HERCO</v>
          </cell>
          <cell r="E346" t="str">
            <v>MTEPIOSM</v>
          </cell>
          <cell r="F346"/>
          <cell r="G346">
            <v>2.2999999999999998</v>
          </cell>
          <cell r="H346">
            <v>1.02</v>
          </cell>
          <cell r="I346">
            <v>2.3459999999999996</v>
          </cell>
          <cell r="J346">
            <v>3.351428571428571</v>
          </cell>
          <cell r="K346">
            <v>2026</v>
          </cell>
          <cell r="M346">
            <v>3.9099999999999997</v>
          </cell>
        </row>
        <row r="347">
          <cell r="A347" t="str">
            <v>00650111</v>
          </cell>
          <cell r="B347" t="str">
            <v>Joint pour bride PN16 DN4 [HP5500 2500 P/H et +]</v>
          </cell>
          <cell r="C347" t="str">
            <v>F1177600</v>
          </cell>
          <cell r="D347" t="str">
            <v>HERCO</v>
          </cell>
          <cell r="E347" t="str">
            <v>MTEPIOSM</v>
          </cell>
          <cell r="F347"/>
          <cell r="G347">
            <v>3.3</v>
          </cell>
          <cell r="H347">
            <v>1.02</v>
          </cell>
          <cell r="I347">
            <v>3.3659999999999997</v>
          </cell>
          <cell r="J347">
            <v>4.8085714285714287</v>
          </cell>
          <cell r="K347">
            <v>2026</v>
          </cell>
          <cell r="M347">
            <v>5.6099999999999994</v>
          </cell>
        </row>
        <row r="348">
          <cell r="A348" t="str">
            <v>00650158</v>
          </cell>
          <cell r="B348" t="str">
            <v>Joint bride à collerette DN25-3 [HP5500 D/P/LC seuls 2000 P et -]</v>
          </cell>
          <cell r="C348" t="str">
            <v>F1177600</v>
          </cell>
          <cell r="D348" t="str">
            <v>HERCO</v>
          </cell>
          <cell r="E348" t="str">
            <v>MTEPIOSM</v>
          </cell>
          <cell r="F348"/>
          <cell r="G348">
            <v>2.2999999999999998</v>
          </cell>
          <cell r="H348">
            <v>1.02</v>
          </cell>
          <cell r="I348">
            <v>2.3459999999999996</v>
          </cell>
          <cell r="J348">
            <v>3.351428571428571</v>
          </cell>
          <cell r="K348">
            <v>2026</v>
          </cell>
          <cell r="M348">
            <v>3.9099999999999997</v>
          </cell>
        </row>
        <row r="349">
          <cell r="A349" t="str">
            <v>00650160</v>
          </cell>
          <cell r="B349" t="str">
            <v>Joint plat 1" Silicone 30x22x3 (E/S osm.) [osm. &lt;2017 et HP5500 2000 P/H et -]</v>
          </cell>
          <cell r="C349" t="str">
            <v>F1177600</v>
          </cell>
          <cell r="D349" t="str">
            <v>HERCO</v>
          </cell>
          <cell r="E349" t="str">
            <v>MTEPIOSM</v>
          </cell>
          <cell r="F349"/>
          <cell r="G349">
            <v>2.0499999999999998</v>
          </cell>
          <cell r="H349">
            <v>1.02</v>
          </cell>
          <cell r="I349">
            <v>2.0909999999999997</v>
          </cell>
          <cell r="J349">
            <v>2.9871428571428571</v>
          </cell>
          <cell r="K349">
            <v>2026</v>
          </cell>
          <cell r="M349">
            <v>3.4849999999999999</v>
          </cell>
        </row>
        <row r="350">
          <cell r="A350" t="str">
            <v>00650161</v>
          </cell>
          <cell r="B350" t="str">
            <v>Joint plat 1"1/4 Silicone 37x27x3 (E/S osm) [osm. &lt;2017 et HP5500 2500 P/H et +]</v>
          </cell>
          <cell r="C350" t="str">
            <v>F1177600</v>
          </cell>
          <cell r="D350" t="str">
            <v>HERCO</v>
          </cell>
          <cell r="E350" t="str">
            <v>MTEPIOSM</v>
          </cell>
          <cell r="F350"/>
          <cell r="G350">
            <v>2.4</v>
          </cell>
          <cell r="H350">
            <v>1.02</v>
          </cell>
          <cell r="I350">
            <v>2.448</v>
          </cell>
          <cell r="J350">
            <v>3.4971428571428573</v>
          </cell>
          <cell r="K350">
            <v>2026</v>
          </cell>
          <cell r="M350">
            <v>4.08</v>
          </cell>
        </row>
        <row r="351">
          <cell r="A351" t="str">
            <v>00650538</v>
          </cell>
          <cell r="B351" t="str">
            <v>Joint plat 3/4" Silicone 24x17x3 [HP5500 750 P/H et +]</v>
          </cell>
          <cell r="C351" t="str">
            <v>F1177600</v>
          </cell>
          <cell r="D351" t="str">
            <v>HERCO</v>
          </cell>
          <cell r="E351" t="str">
            <v>MTEPIOSM</v>
          </cell>
          <cell r="F351"/>
          <cell r="G351">
            <v>2.2000000000000002</v>
          </cell>
          <cell r="H351">
            <v>1.02</v>
          </cell>
          <cell r="I351">
            <v>2.2440000000000002</v>
          </cell>
          <cell r="J351">
            <v>3.2057142857142864</v>
          </cell>
          <cell r="K351">
            <v>2026</v>
          </cell>
          <cell r="L351"/>
          <cell r="M351">
            <v>3.7400000000000007</v>
          </cell>
        </row>
        <row r="352">
          <cell r="A352" t="str">
            <v>00650571</v>
          </cell>
          <cell r="B352" t="str">
            <v>Joint plat 1"1/2 Silicone 44x26x3 [HP5500 2500 P/H et +]</v>
          </cell>
          <cell r="C352" t="str">
            <v>F1177600</v>
          </cell>
          <cell r="D352" t="str">
            <v>HERCO</v>
          </cell>
          <cell r="E352" t="str">
            <v>MTEPIOSM</v>
          </cell>
          <cell r="F352"/>
          <cell r="G352">
            <v>4.5</v>
          </cell>
          <cell r="H352">
            <v>1.02</v>
          </cell>
          <cell r="I352">
            <v>4.59</v>
          </cell>
          <cell r="J352">
            <v>6.5571428571428569</v>
          </cell>
          <cell r="K352">
            <v>2026</v>
          </cell>
          <cell r="L352"/>
          <cell r="M352">
            <v>7.65</v>
          </cell>
        </row>
        <row r="353">
          <cell r="A353" t="str">
            <v>00650572</v>
          </cell>
          <cell r="B353" t="str">
            <v>Joint plat 2" Silicone 56x40x3 [osmoseur &lt;2017]</v>
          </cell>
          <cell r="C353" t="str">
            <v>F1177600</v>
          </cell>
          <cell r="D353" t="str">
            <v>HERCO</v>
          </cell>
          <cell r="E353" t="str">
            <v>MTEPIOSM</v>
          </cell>
          <cell r="F353"/>
          <cell r="G353">
            <v>8.4</v>
          </cell>
          <cell r="H353">
            <v>1.02</v>
          </cell>
          <cell r="I353">
            <v>8.5680000000000014</v>
          </cell>
          <cell r="J353">
            <v>12.240000000000002</v>
          </cell>
          <cell r="K353">
            <v>2026</v>
          </cell>
          <cell r="M353">
            <v>14.280000000000003</v>
          </cell>
        </row>
        <row r="354">
          <cell r="A354" t="str">
            <v>00650574</v>
          </cell>
          <cell r="B354" t="str">
            <v>Joint de siège (RV04)</v>
          </cell>
          <cell r="C354" t="str">
            <v>F1177600</v>
          </cell>
          <cell r="D354" t="str">
            <v>HERCO</v>
          </cell>
          <cell r="E354" t="str">
            <v>MTEPIOSM</v>
          </cell>
          <cell r="F354"/>
          <cell r="G354">
            <v>28.3</v>
          </cell>
          <cell r="H354">
            <v>1.02</v>
          </cell>
          <cell r="I354">
            <v>28.866</v>
          </cell>
          <cell r="J354">
            <v>41.237142857142857</v>
          </cell>
          <cell r="K354">
            <v>2026</v>
          </cell>
          <cell r="M354">
            <v>48.11</v>
          </cell>
        </row>
        <row r="355">
          <cell r="A355" t="str">
            <v>00650599</v>
          </cell>
          <cell r="B355" t="str">
            <v>Jeu de joints pompe surpression CM-G 3-4 / CM-G 5-3 (P3) [Hercotherm Ring] &gt; 96932440</v>
          </cell>
          <cell r="C355" t="str">
            <v>F1177600</v>
          </cell>
          <cell r="D355" t="str">
            <v>HERCO</v>
          </cell>
          <cell r="E355" t="str">
            <v>MTEPIOSM</v>
          </cell>
          <cell r="F355"/>
          <cell r="G355">
            <v>321</v>
          </cell>
          <cell r="H355">
            <v>1.02</v>
          </cell>
          <cell r="I355">
            <v>327.42</v>
          </cell>
          <cell r="J355">
            <v>467.74285714285719</v>
          </cell>
          <cell r="K355">
            <v>2026</v>
          </cell>
          <cell r="L355"/>
          <cell r="M355">
            <v>545.70000000000005</v>
          </cell>
        </row>
        <row r="356">
          <cell r="A356" t="str">
            <v>00650626</v>
          </cell>
          <cell r="B356" t="str">
            <v>Jeu de pièces d'usure électrovanne</v>
          </cell>
          <cell r="C356" t="str">
            <v>F1177600</v>
          </cell>
          <cell r="D356" t="str">
            <v>HERCO</v>
          </cell>
          <cell r="E356" t="str">
            <v>MTEPIOSX</v>
          </cell>
          <cell r="F356" t="str">
            <v>Prix Net</v>
          </cell>
          <cell r="G356">
            <v>160</v>
          </cell>
          <cell r="H356">
            <v>1.02</v>
          </cell>
          <cell r="I356">
            <v>163.19999999999999</v>
          </cell>
          <cell r="J356">
            <v>203.99999999999997</v>
          </cell>
          <cell r="K356">
            <v>2026</v>
          </cell>
          <cell r="L356"/>
          <cell r="M356">
            <v>233.14285714285714</v>
          </cell>
        </row>
        <row r="357">
          <cell r="A357" t="str">
            <v>00650633</v>
          </cell>
          <cell r="B357" t="str">
            <v>Joint torique pour carter Herco filtre 0,2µ (code 3)</v>
          </cell>
          <cell r="C357" t="str">
            <v>F1177600</v>
          </cell>
          <cell r="D357" t="str">
            <v>HERCO</v>
          </cell>
          <cell r="E357" t="str">
            <v>MTEPIQRE</v>
          </cell>
          <cell r="F357"/>
          <cell r="G357">
            <v>27.3</v>
          </cell>
          <cell r="H357">
            <v>1.02</v>
          </cell>
          <cell r="I357">
            <v>27.846</v>
          </cell>
          <cell r="J357">
            <v>39.78</v>
          </cell>
          <cell r="K357">
            <v>2026</v>
          </cell>
          <cell r="L357"/>
          <cell r="M357">
            <v>46.410000000000004</v>
          </cell>
        </row>
        <row r="358">
          <cell r="A358" t="str">
            <v>00650634</v>
          </cell>
          <cell r="B358" t="str">
            <v>Joint PTFE pour flexible tressé (sortie perméat) [osmoseur &lt;2017]</v>
          </cell>
          <cell r="C358" t="str">
            <v>F1177600</v>
          </cell>
          <cell r="D358" t="str">
            <v>HERCO</v>
          </cell>
          <cell r="E358" t="str">
            <v>MTEPIOSM</v>
          </cell>
          <cell r="F358"/>
          <cell r="G358">
            <v>2.0499999999999998</v>
          </cell>
          <cell r="H358">
            <v>1.02</v>
          </cell>
          <cell r="I358">
            <v>2.0909999999999997</v>
          </cell>
          <cell r="J358">
            <v>2.9871428571428571</v>
          </cell>
          <cell r="K358">
            <v>2026</v>
          </cell>
          <cell r="L358"/>
          <cell r="M358">
            <v>3.4849999999999999</v>
          </cell>
        </row>
        <row r="359">
          <cell r="A359" t="str">
            <v>00650635</v>
          </cell>
          <cell r="B359" t="str">
            <v>Joint pour vanne à flotteur 3/4"</v>
          </cell>
          <cell r="C359" t="str">
            <v>F1177600</v>
          </cell>
          <cell r="D359" t="str">
            <v>HERCO</v>
          </cell>
          <cell r="E359" t="str">
            <v>MTEPIOSM</v>
          </cell>
          <cell r="F359"/>
          <cell r="G359">
            <v>26.2</v>
          </cell>
          <cell r="H359">
            <v>1.02</v>
          </cell>
          <cell r="I359">
            <v>26.724</v>
          </cell>
          <cell r="J359">
            <v>38.177142857142861</v>
          </cell>
          <cell r="K359">
            <v>2026</v>
          </cell>
          <cell r="L359"/>
          <cell r="M359">
            <v>44.54</v>
          </cell>
        </row>
        <row r="360">
          <cell r="A360" t="str">
            <v>00650639</v>
          </cell>
          <cell r="B360" t="str">
            <v>Joint plat 1/2" Silicone 20x10x3 [HP5500 750-2000 P/H]</v>
          </cell>
          <cell r="C360" t="str">
            <v>F1177600</v>
          </cell>
          <cell r="D360" t="str">
            <v>HERCO</v>
          </cell>
          <cell r="E360" t="str">
            <v>MTEPIOSM</v>
          </cell>
          <cell r="F360"/>
          <cell r="G360">
            <v>2.0499999999999998</v>
          </cell>
          <cell r="H360">
            <v>1.02</v>
          </cell>
          <cell r="I360">
            <v>2.0909999999999997</v>
          </cell>
          <cell r="J360">
            <v>2.9871428571428571</v>
          </cell>
          <cell r="K360">
            <v>2026</v>
          </cell>
          <cell r="L360"/>
          <cell r="M360">
            <v>3.4849999999999999</v>
          </cell>
        </row>
        <row r="361">
          <cell r="A361" t="str">
            <v>00650648</v>
          </cell>
          <cell r="B361" t="str">
            <v>Jeu de joints (v.1 DV01-02-03 &gt; 00415222/00415261) [HP5500]</v>
          </cell>
          <cell r="C361" t="str">
            <v>F1177600</v>
          </cell>
          <cell r="D361" t="str">
            <v>HERCO</v>
          </cell>
          <cell r="E361" t="str">
            <v>MTEPIOSM</v>
          </cell>
          <cell r="F361"/>
          <cell r="G361">
            <v>41.6</v>
          </cell>
          <cell r="H361">
            <v>1.02</v>
          </cell>
          <cell r="I361">
            <v>42.432000000000002</v>
          </cell>
          <cell r="J361">
            <v>60.617142857142866</v>
          </cell>
          <cell r="K361">
            <v>2026</v>
          </cell>
          <cell r="L361"/>
          <cell r="M361">
            <v>70.720000000000013</v>
          </cell>
        </row>
        <row r="362">
          <cell r="A362" t="str">
            <v>00650651</v>
          </cell>
          <cell r="B362" t="str">
            <v>Jeu de joints (DV04 &gt; 00415224) [HP5500]</v>
          </cell>
          <cell r="C362" t="str">
            <v>F1177600</v>
          </cell>
          <cell r="D362" t="str">
            <v>HERCO</v>
          </cell>
          <cell r="E362" t="str">
            <v>MTEPIOSM</v>
          </cell>
          <cell r="F362"/>
          <cell r="G362">
            <v>50.4</v>
          </cell>
          <cell r="H362">
            <v>1.02</v>
          </cell>
          <cell r="I362">
            <v>51.408000000000001</v>
          </cell>
          <cell r="J362">
            <v>73.440000000000012</v>
          </cell>
          <cell r="K362">
            <v>2026</v>
          </cell>
          <cell r="L362"/>
          <cell r="M362">
            <v>85.68</v>
          </cell>
        </row>
        <row r="363">
          <cell r="A363" t="str">
            <v>00650658</v>
          </cell>
          <cell r="B363" t="str">
            <v>Jeu de joints (v2/v3 DV01-02-03 &gt; 00415280/00415281/00415284/00415285) [HP5500]</v>
          </cell>
          <cell r="C363" t="str">
            <v>F1177600</v>
          </cell>
          <cell r="D363" t="str">
            <v>HERCO</v>
          </cell>
          <cell r="E363" t="str">
            <v>MTEPIOSM</v>
          </cell>
          <cell r="F363"/>
          <cell r="G363">
            <v>41.6</v>
          </cell>
          <cell r="H363">
            <v>1.02</v>
          </cell>
          <cell r="I363">
            <v>42.432000000000002</v>
          </cell>
          <cell r="J363">
            <v>60.617142857142866</v>
          </cell>
          <cell r="K363">
            <v>2026</v>
          </cell>
          <cell r="L363"/>
          <cell r="M363">
            <v>70.720000000000013</v>
          </cell>
        </row>
        <row r="364">
          <cell r="A364" t="str">
            <v>00535114</v>
          </cell>
          <cell r="B364" t="str">
            <v>Test colorimétrique VISOCOLOR HE Chlore pour concentrations faibles (160 tests) / 920015</v>
          </cell>
          <cell r="C364" t="str">
            <v>F1200379</v>
          </cell>
          <cell r="D364" t="str">
            <v>MACHEREY-NAGEL</v>
          </cell>
          <cell r="E364" t="str">
            <v>MTETTCOR</v>
          </cell>
          <cell r="F364" t="str">
            <v>TTECO</v>
          </cell>
          <cell r="G364">
            <v>114.1</v>
          </cell>
          <cell r="H364">
            <v>1.1000000000000001</v>
          </cell>
          <cell r="I364">
            <v>125.51</v>
          </cell>
          <cell r="J364">
            <v>179.3</v>
          </cell>
          <cell r="K364">
            <v>2026</v>
          </cell>
          <cell r="M364">
            <v>209.18333333333334</v>
          </cell>
        </row>
        <row r="365">
          <cell r="A365" t="str">
            <v>00535114R</v>
          </cell>
          <cell r="B365" t="str">
            <v>Test colorimétrique VISOCOLOR HE Chlore, recharge (160 tests) / 920115</v>
          </cell>
          <cell r="C365" t="str">
            <v>F1200379</v>
          </cell>
          <cell r="D365" t="str">
            <v>MACHEREY-NAGEL</v>
          </cell>
          <cell r="E365" t="str">
            <v>MTETTCOR</v>
          </cell>
          <cell r="F365" t="str">
            <v>TTECO</v>
          </cell>
          <cell r="G365">
            <v>70.650000000000006</v>
          </cell>
          <cell r="H365">
            <v>1.1000000000000001</v>
          </cell>
          <cell r="I365">
            <v>77.715000000000018</v>
          </cell>
          <cell r="J365">
            <v>111.0214285714286</v>
          </cell>
          <cell r="K365">
            <v>2026</v>
          </cell>
          <cell r="M365">
            <v>129.52500000000003</v>
          </cell>
        </row>
        <row r="366">
          <cell r="A366" t="str">
            <v>00630079</v>
          </cell>
          <cell r="B366" t="str">
            <v>Test Quantofix Peroxyde 100 (100 languettes test semi-quantitatives) / 91312</v>
          </cell>
          <cell r="C366" t="str">
            <v>F1200379</v>
          </cell>
          <cell r="D366" t="str">
            <v>MACHEREY-NAGEL</v>
          </cell>
          <cell r="E366" t="str">
            <v>MTETTCOR</v>
          </cell>
          <cell r="F366" t="str">
            <v>TTECO</v>
          </cell>
          <cell r="G366">
            <v>29.7</v>
          </cell>
          <cell r="H366">
            <v>1.1000000000000001</v>
          </cell>
          <cell r="I366">
            <v>32.67</v>
          </cell>
          <cell r="J366">
            <v>46.671428571428578</v>
          </cell>
          <cell r="K366">
            <v>2026</v>
          </cell>
          <cell r="L366"/>
          <cell r="M366">
            <v>54.45</v>
          </cell>
        </row>
        <row r="367">
          <cell r="A367" t="str">
            <v>00630091</v>
          </cell>
          <cell r="B367" t="str">
            <v>Test Quantofix Chlore total Sensitiv 1 (50 languettes test semi-quantitatives) / 91361</v>
          </cell>
          <cell r="C367" t="str">
            <v>F1200379</v>
          </cell>
          <cell r="D367" t="str">
            <v>MACHEREY-NAGEL</v>
          </cell>
          <cell r="E367" t="str">
            <v>MTETTCOR</v>
          </cell>
          <cell r="F367" t="str">
            <v>TTECO</v>
          </cell>
          <cell r="G367">
            <v>16.3</v>
          </cell>
          <cell r="H367">
            <v>1.1000000000000001</v>
          </cell>
          <cell r="I367">
            <v>17.930000000000003</v>
          </cell>
          <cell r="J367">
            <v>25.614285714285721</v>
          </cell>
          <cell r="K367">
            <v>2026</v>
          </cell>
          <cell r="L367"/>
          <cell r="M367">
            <v>29.88333333333334</v>
          </cell>
        </row>
        <row r="368">
          <cell r="A368" t="str">
            <v>AQUADUR</v>
          </cell>
          <cell r="B368" t="str">
            <v>Test AQUADUR Sensitive pour la dureté (50 languettes test semi-quantitatives) / 91243</v>
          </cell>
          <cell r="C368" t="str">
            <v>F1200379</v>
          </cell>
          <cell r="D368" t="str">
            <v>MACHEREY-NAGEL</v>
          </cell>
          <cell r="E368" t="str">
            <v>MTETTCOR</v>
          </cell>
          <cell r="F368" t="str">
            <v>TTECO</v>
          </cell>
          <cell r="G368">
            <v>23.85</v>
          </cell>
          <cell r="H368">
            <v>1.1000000000000001</v>
          </cell>
          <cell r="I368">
            <v>26.235000000000003</v>
          </cell>
          <cell r="J368">
            <v>37.478571428571435</v>
          </cell>
          <cell r="K368">
            <v>2026</v>
          </cell>
          <cell r="L368"/>
          <cell r="M368">
            <v>43.725000000000009</v>
          </cell>
        </row>
        <row r="369">
          <cell r="A369" t="str">
            <v>ORMCD1003</v>
          </cell>
          <cell r="B369" t="str">
            <v>Kit analyse dureté TH flacon unique 20ml pour eau de réseau (1goutte = 1°F)</v>
          </cell>
          <cell r="C369" t="str">
            <v>F1183500</v>
          </cell>
          <cell r="D369" t="str">
            <v>AQUALABO-ORCHIDIS</v>
          </cell>
          <cell r="E369" t="str">
            <v>MTETTCOR</v>
          </cell>
          <cell r="F369" t="str">
            <v>TTECO</v>
          </cell>
          <cell r="G369">
            <v>12.7</v>
          </cell>
          <cell r="H369">
            <v>1.18</v>
          </cell>
          <cell r="I369">
            <v>14.985999999999999</v>
          </cell>
          <cell r="J369">
            <v>21.408571428571427</v>
          </cell>
          <cell r="K369">
            <v>2026</v>
          </cell>
          <cell r="L369"/>
          <cell r="M369">
            <v>24.976666666666667</v>
          </cell>
        </row>
        <row r="370">
          <cell r="A370" t="str">
            <v>011.210</v>
          </cell>
          <cell r="B370" t="str">
            <v>Bouchon chambre de mesure (unité)</v>
          </cell>
          <cell r="C370" t="str">
            <v>F1191900</v>
          </cell>
          <cell r="D370" t="str">
            <v>HEYL ANALYSIS TECHNOLOGIES</v>
          </cell>
          <cell r="E370" t="str">
            <v>MTEPIPRE</v>
          </cell>
          <cell r="F370"/>
          <cell r="G370">
            <v>2.0900000000000003</v>
          </cell>
          <cell r="H370">
            <v>1.02</v>
          </cell>
          <cell r="I370">
            <v>2.1318000000000001</v>
          </cell>
          <cell r="J370">
            <v>3.6006102000000002</v>
          </cell>
          <cell r="K370">
            <v>2026</v>
          </cell>
          <cell r="L370"/>
          <cell r="M370">
            <v>3.6006102000000002</v>
          </cell>
        </row>
        <row r="371">
          <cell r="A371" t="str">
            <v>011.217</v>
          </cell>
          <cell r="B371" t="str">
            <v>Filtre d'admission (DOSI) 19.5x25mm pour T2000</v>
          </cell>
          <cell r="C371" t="str">
            <v>F1191900</v>
          </cell>
          <cell r="D371" t="str">
            <v>HEYL ANALYSIS TECHNOLOGIES</v>
          </cell>
          <cell r="E371" t="str">
            <v>MTEPIPRE</v>
          </cell>
          <cell r="F371"/>
          <cell r="G371">
            <v>7.3624999999999998</v>
          </cell>
          <cell r="H371">
            <v>1.02</v>
          </cell>
          <cell r="I371">
            <v>7.5097500000000004</v>
          </cell>
          <cell r="J371">
            <v>12.683967750000001</v>
          </cell>
          <cell r="K371">
            <v>2026</v>
          </cell>
          <cell r="L371"/>
          <cell r="M371">
            <v>12.683967750000001</v>
          </cell>
        </row>
        <row r="372">
          <cell r="A372" t="str">
            <v>011.218</v>
          </cell>
          <cell r="B372" t="str">
            <v>Ressort filtre</v>
          </cell>
          <cell r="C372" t="str">
            <v>F1191900</v>
          </cell>
          <cell r="D372" t="str">
            <v>HEYL ANALYSIS TECHNOLOGIES</v>
          </cell>
          <cell r="E372" t="str">
            <v>MTEPIPRE</v>
          </cell>
          <cell r="F372"/>
          <cell r="G372">
            <v>2.2324999999999999</v>
          </cell>
          <cell r="H372">
            <v>1.02</v>
          </cell>
          <cell r="I372">
            <v>2.2771499999999998</v>
          </cell>
          <cell r="J372">
            <v>3.8461063499999999</v>
          </cell>
          <cell r="K372">
            <v>2026</v>
          </cell>
          <cell r="L372"/>
          <cell r="M372">
            <v>3.8461063499999999</v>
          </cell>
        </row>
        <row r="373">
          <cell r="A373" t="str">
            <v>011.225</v>
          </cell>
          <cell r="B373" t="str">
            <v>Régulateur 1 - 8bars</v>
          </cell>
          <cell r="C373" t="str">
            <v>F1191900</v>
          </cell>
          <cell r="D373" t="str">
            <v>HEYL ANALYSIS TECHNOLOGIES</v>
          </cell>
          <cell r="E373" t="str">
            <v>MTEPIPRE</v>
          </cell>
          <cell r="F373"/>
          <cell r="G373">
            <v>11.494999999999999</v>
          </cell>
          <cell r="H373">
            <v>1.02</v>
          </cell>
          <cell r="I373">
            <v>11.7249</v>
          </cell>
          <cell r="J373">
            <v>19.803356100000002</v>
          </cell>
          <cell r="K373">
            <v>2026</v>
          </cell>
          <cell r="L373"/>
          <cell r="M373">
            <v>19.803356100000002</v>
          </cell>
        </row>
        <row r="374">
          <cell r="A374" t="str">
            <v>011.230</v>
          </cell>
          <cell r="B374" t="str">
            <v>Goupille de retenue</v>
          </cell>
          <cell r="C374" t="str">
            <v>F1191900</v>
          </cell>
          <cell r="D374" t="str">
            <v>HEYL ANALYSIS TECHNOLOGIES</v>
          </cell>
          <cell r="E374" t="str">
            <v>MTEPIPRE</v>
          </cell>
          <cell r="F374"/>
          <cell r="G374">
            <v>4.4175000000000004</v>
          </cell>
          <cell r="H374">
            <v>1.02</v>
          </cell>
          <cell r="I374">
            <v>4.5058500000000006</v>
          </cell>
          <cell r="J374">
            <v>7.6103806500000015</v>
          </cell>
          <cell r="K374">
            <v>2026</v>
          </cell>
          <cell r="L374"/>
          <cell r="M374">
            <v>7.6103806500000015</v>
          </cell>
        </row>
        <row r="375">
          <cell r="A375" t="str">
            <v>031.582</v>
          </cell>
          <cell r="B375" t="str">
            <v>Fusible entrée 4A (f9)</v>
          </cell>
          <cell r="C375" t="str">
            <v>F1191900</v>
          </cell>
          <cell r="D375" t="str">
            <v>HEYL ANALYSIS TECHNOLOGIES</v>
          </cell>
          <cell r="E375" t="str">
            <v>MTEPIPRE</v>
          </cell>
          <cell r="F375"/>
          <cell r="G375">
            <v>2.2799999999999998</v>
          </cell>
          <cell r="H375">
            <v>1.02</v>
          </cell>
          <cell r="I375">
            <v>2.3255999999999997</v>
          </cell>
          <cell r="J375">
            <v>3.9279383999999995</v>
          </cell>
          <cell r="K375">
            <v>2026</v>
          </cell>
          <cell r="L375"/>
          <cell r="M375">
            <v>3.9279383999999995</v>
          </cell>
        </row>
        <row r="376">
          <cell r="A376" t="str">
            <v>031.585</v>
          </cell>
          <cell r="B376" t="str">
            <v>Fusible TR5 - 315 mA (f5/f6)</v>
          </cell>
          <cell r="C376" t="str">
            <v>F1191900</v>
          </cell>
          <cell r="D376" t="str">
            <v>HEYL ANALYSIS TECHNOLOGIES</v>
          </cell>
          <cell r="E376" t="str">
            <v>MTEPIPRE</v>
          </cell>
          <cell r="F376"/>
          <cell r="G376">
            <v>4.3224999999999998</v>
          </cell>
          <cell r="H376">
            <v>1.02</v>
          </cell>
          <cell r="I376">
            <v>4.4089499999999999</v>
          </cell>
          <cell r="J376">
            <v>7.4467165500000005</v>
          </cell>
          <cell r="K376">
            <v>2026</v>
          </cell>
          <cell r="L376"/>
          <cell r="M376">
            <v>7.4467165500000005</v>
          </cell>
        </row>
        <row r="377">
          <cell r="A377" t="str">
            <v>031.592</v>
          </cell>
          <cell r="B377" t="str">
            <v>Fusible TR5 - 1A (f8)</v>
          </cell>
          <cell r="C377" t="str">
            <v>F1191900</v>
          </cell>
          <cell r="D377" t="str">
            <v>HEYL ANALYSIS TECHNOLOGIES</v>
          </cell>
          <cell r="E377" t="str">
            <v>MTEPIPRE</v>
          </cell>
          <cell r="F377"/>
          <cell r="G377">
            <v>4.3224999999999998</v>
          </cell>
          <cell r="H377">
            <v>1.02</v>
          </cell>
          <cell r="I377">
            <v>4.4089499999999999</v>
          </cell>
          <cell r="J377">
            <v>7.4467165500000005</v>
          </cell>
          <cell r="K377">
            <v>2026</v>
          </cell>
          <cell r="L377"/>
          <cell r="M377">
            <v>7.4467165500000005</v>
          </cell>
        </row>
        <row r="378">
          <cell r="A378" t="str">
            <v>031.593</v>
          </cell>
          <cell r="B378" t="str">
            <v>Fusible TR5 - 2A (f8)</v>
          </cell>
          <cell r="C378" t="str">
            <v>F1191900</v>
          </cell>
          <cell r="D378" t="str">
            <v>HEYL ANALYSIS TECHNOLOGIES</v>
          </cell>
          <cell r="E378" t="str">
            <v>MTEPIPRE</v>
          </cell>
          <cell r="F378"/>
          <cell r="G378">
            <v>4.3224999999999998</v>
          </cell>
          <cell r="H378">
            <v>1.02</v>
          </cell>
          <cell r="I378">
            <v>4.4089499999999999</v>
          </cell>
          <cell r="J378">
            <v>7.4467165500000005</v>
          </cell>
          <cell r="K378">
            <v>2026</v>
          </cell>
          <cell r="L378"/>
          <cell r="M378">
            <v>7.4467165500000005</v>
          </cell>
        </row>
        <row r="379">
          <cell r="A379" t="str">
            <v>031.595</v>
          </cell>
          <cell r="B379" t="str">
            <v>Fusible TR5 - 100 mA (f1/f2)</v>
          </cell>
          <cell r="C379" t="str">
            <v>F1191900</v>
          </cell>
          <cell r="D379" t="str">
            <v>HEYL ANALYSIS TECHNOLOGIES</v>
          </cell>
          <cell r="E379" t="str">
            <v>MTEPIPRE</v>
          </cell>
          <cell r="F379"/>
          <cell r="G379">
            <v>4.3224999999999998</v>
          </cell>
          <cell r="H379">
            <v>1.02</v>
          </cell>
          <cell r="I379">
            <v>4.4089499999999999</v>
          </cell>
          <cell r="J379">
            <v>7.4467165500000005</v>
          </cell>
          <cell r="K379">
            <v>2026</v>
          </cell>
          <cell r="L379"/>
          <cell r="M379">
            <v>7.4467165500000005</v>
          </cell>
        </row>
        <row r="380">
          <cell r="A380" t="str">
            <v>031.596</v>
          </cell>
          <cell r="B380" t="str">
            <v>Fusible TR5 - 80 mA (f7)</v>
          </cell>
          <cell r="C380" t="str">
            <v>F1191900</v>
          </cell>
          <cell r="D380" t="str">
            <v>HEYL ANALYSIS TECHNOLOGIES</v>
          </cell>
          <cell r="E380" t="str">
            <v>MTEPIPRE</v>
          </cell>
          <cell r="F380"/>
          <cell r="G380">
            <v>4.3224999999999998</v>
          </cell>
          <cell r="H380">
            <v>1.02</v>
          </cell>
          <cell r="I380">
            <v>4.4089499999999999</v>
          </cell>
          <cell r="J380">
            <v>7.4467165500000005</v>
          </cell>
          <cell r="K380">
            <v>2026</v>
          </cell>
          <cell r="L380"/>
          <cell r="M380">
            <v>7.4467165500000005</v>
          </cell>
        </row>
        <row r="381">
          <cell r="A381" t="str">
            <v>031.622</v>
          </cell>
          <cell r="B381" t="str">
            <v>Fusible TR5 - 160 mA (f4)</v>
          </cell>
          <cell r="C381" t="str">
            <v>F1191900</v>
          </cell>
          <cell r="D381" t="str">
            <v>HEYL ANALYSIS TECHNOLOGIES</v>
          </cell>
          <cell r="E381" t="str">
            <v>MTEPIPRE</v>
          </cell>
          <cell r="F381"/>
          <cell r="G381">
            <v>4.3224999999999998</v>
          </cell>
          <cell r="H381">
            <v>1.02</v>
          </cell>
          <cell r="I381">
            <v>4.4089499999999999</v>
          </cell>
          <cell r="J381">
            <v>7.4467165500000005</v>
          </cell>
          <cell r="K381">
            <v>2026</v>
          </cell>
          <cell r="L381"/>
          <cell r="M381">
            <v>7.4467165500000005</v>
          </cell>
        </row>
        <row r="382">
          <cell r="A382" t="str">
            <v>031.713</v>
          </cell>
          <cell r="B382" t="str">
            <v>Nappe de liaison 10 pôles</v>
          </cell>
          <cell r="C382" t="str">
            <v>F1191900</v>
          </cell>
          <cell r="D382" t="str">
            <v>HEYL ANALYSIS TECHNOLOGIES</v>
          </cell>
          <cell r="E382" t="str">
            <v>MTEPIPRE</v>
          </cell>
          <cell r="F382"/>
          <cell r="G382">
            <v>36.67</v>
          </cell>
          <cell r="H382">
            <v>1.02</v>
          </cell>
          <cell r="I382">
            <v>37.403400000000005</v>
          </cell>
          <cell r="J382">
            <v>63.17434260000001</v>
          </cell>
          <cell r="K382">
            <v>2026</v>
          </cell>
          <cell r="L382"/>
          <cell r="M382">
            <v>63.17434260000001</v>
          </cell>
        </row>
        <row r="383">
          <cell r="A383" t="str">
            <v>032.046</v>
          </cell>
          <cell r="B383" t="str">
            <v>Couvercle transparent CNH45</v>
          </cell>
          <cell r="C383" t="str">
            <v>F1191900</v>
          </cell>
          <cell r="D383" t="str">
            <v>HEYL ANALYSIS TECHNOLOGIES</v>
          </cell>
          <cell r="E383" t="str">
            <v>MTEPIPRE</v>
          </cell>
          <cell r="F383"/>
          <cell r="G383">
            <v>12.065</v>
          </cell>
          <cell r="H383">
            <v>1.02</v>
          </cell>
          <cell r="I383">
            <v>12.3063</v>
          </cell>
          <cell r="J383">
            <v>20.785340700000003</v>
          </cell>
          <cell r="K383">
            <v>2026</v>
          </cell>
          <cell r="L383"/>
          <cell r="M383">
            <v>20.785340700000003</v>
          </cell>
        </row>
        <row r="384">
          <cell r="A384" t="str">
            <v>033.253</v>
          </cell>
          <cell r="B384" t="str">
            <v>Vis M3/38 des attache fenêtres (unité)</v>
          </cell>
          <cell r="C384" t="str">
            <v>F1191900</v>
          </cell>
          <cell r="D384" t="str">
            <v>HEYL ANALYSIS TECHNOLOGIES</v>
          </cell>
          <cell r="E384" t="str">
            <v>MTEPIPRE</v>
          </cell>
          <cell r="F384"/>
          <cell r="G384">
            <v>4.8449999999999998</v>
          </cell>
          <cell r="H384">
            <v>1.02</v>
          </cell>
          <cell r="I384">
            <v>4.9418999999999995</v>
          </cell>
          <cell r="J384">
            <v>8.3468690999999993</v>
          </cell>
          <cell r="K384">
            <v>2026</v>
          </cell>
          <cell r="L384"/>
          <cell r="M384">
            <v>8.3468690999999993</v>
          </cell>
        </row>
        <row r="385">
          <cell r="A385" t="str">
            <v>037.087</v>
          </cell>
          <cell r="B385" t="str">
            <v>Carte mère 230v T-ECO (remplace 037.245)</v>
          </cell>
          <cell r="C385" t="str">
            <v>F1191900</v>
          </cell>
          <cell r="D385" t="str">
            <v>HEYL ANALYSIS TECHNOLOGIES</v>
          </cell>
          <cell r="E385" t="str">
            <v>MTEPIPRE</v>
          </cell>
          <cell r="F385"/>
          <cell r="G385">
            <v>429.8</v>
          </cell>
          <cell r="H385">
            <v>1.02</v>
          </cell>
          <cell r="I385">
            <v>438.39600000000002</v>
          </cell>
          <cell r="J385">
            <v>740.45084400000007</v>
          </cell>
          <cell r="K385">
            <v>2026</v>
          </cell>
          <cell r="L385" t="str">
            <v>TS</v>
          </cell>
          <cell r="M385">
            <v>740.45084400000007</v>
          </cell>
        </row>
        <row r="386">
          <cell r="A386" t="str">
            <v>037.320</v>
          </cell>
          <cell r="B386" t="str">
            <v>Carte SD standard, 2GB =&gt; inclus avec 100.490</v>
          </cell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</row>
        <row r="387">
          <cell r="A387" t="str">
            <v>040.001</v>
          </cell>
          <cell r="B387" t="str">
            <v>Pompe DOSIClip pour Testomat 2000</v>
          </cell>
          <cell r="C387" t="str">
            <v>F1191900</v>
          </cell>
          <cell r="D387" t="str">
            <v>HEYL ANALYSIS TECHNOLOGIES</v>
          </cell>
          <cell r="E387" t="str">
            <v>MTEPIPRE</v>
          </cell>
          <cell r="F387"/>
          <cell r="G387">
            <v>525</v>
          </cell>
          <cell r="H387">
            <v>1.02</v>
          </cell>
          <cell r="I387">
            <v>535.5</v>
          </cell>
          <cell r="J387">
            <v>904.45950000000005</v>
          </cell>
          <cell r="K387">
            <v>2026</v>
          </cell>
          <cell r="L387" t="str">
            <v>TS</v>
          </cell>
          <cell r="M387">
            <v>904.45950000000005</v>
          </cell>
        </row>
        <row r="388">
          <cell r="A388" t="str">
            <v>040.018</v>
          </cell>
          <cell r="B388" t="str">
            <v>Electrovanne 2 voies pour Testomat 2000</v>
          </cell>
          <cell r="C388" t="str">
            <v>F1191900</v>
          </cell>
          <cell r="D388" t="str">
            <v>HEYL ANALYSIS TECHNOLOGIES</v>
          </cell>
          <cell r="E388" t="str">
            <v>MTEPIPRE</v>
          </cell>
          <cell r="F388"/>
          <cell r="G388">
            <v>403.75</v>
          </cell>
          <cell r="H388">
            <v>1.02</v>
          </cell>
          <cell r="I388">
            <v>411.82499999999999</v>
          </cell>
          <cell r="J388">
            <v>695.57242499999995</v>
          </cell>
          <cell r="K388">
            <v>2026</v>
          </cell>
          <cell r="L388"/>
          <cell r="M388">
            <v>695.57242499999995</v>
          </cell>
        </row>
        <row r="389">
          <cell r="A389" t="str">
            <v>040.022</v>
          </cell>
          <cell r="B389" t="str">
            <v>Chambre de mesure complète T2000</v>
          </cell>
          <cell r="C389" t="str">
            <v>F1191900</v>
          </cell>
          <cell r="D389" t="str">
            <v>HEYL ANALYSIS TECHNOLOGIES</v>
          </cell>
          <cell r="E389" t="str">
            <v>MTEPIPRE</v>
          </cell>
          <cell r="F389"/>
          <cell r="G389">
            <v>338.2</v>
          </cell>
          <cell r="H389">
            <v>1.02</v>
          </cell>
          <cell r="I389">
            <v>344.964</v>
          </cell>
          <cell r="J389">
            <v>582.64419599999997</v>
          </cell>
          <cell r="K389">
            <v>2026</v>
          </cell>
          <cell r="L389"/>
          <cell r="M389">
            <v>582.64419599999997</v>
          </cell>
        </row>
        <row r="390">
          <cell r="A390" t="str">
            <v>040.029</v>
          </cell>
          <cell r="B390" t="str">
            <v>Bloc support analyse T2000 ECO/EVO TH (1T)</v>
          </cell>
          <cell r="C390" t="str">
            <v>F1191900</v>
          </cell>
          <cell r="D390" t="str">
            <v>HEYL ANALYSIS TECHNOLOGIES</v>
          </cell>
          <cell r="E390" t="str">
            <v>MTEPIPRE</v>
          </cell>
          <cell r="F390"/>
          <cell r="G390">
            <v>694.2</v>
          </cell>
          <cell r="H390">
            <v>1.02</v>
          </cell>
          <cell r="I390">
            <v>708.08400000000006</v>
          </cell>
          <cell r="J390">
            <v>1195.953876</v>
          </cell>
          <cell r="K390">
            <v>2026</v>
          </cell>
          <cell r="L390" t="str">
            <v>TS</v>
          </cell>
          <cell r="M390">
            <v>1195.953876</v>
          </cell>
        </row>
        <row r="391">
          <cell r="A391" t="str">
            <v>040.050</v>
          </cell>
          <cell r="B391" t="str">
            <v>Barreau magnétique</v>
          </cell>
          <cell r="C391" t="str">
            <v>F1191900</v>
          </cell>
          <cell r="D391" t="str">
            <v>HEYL ANALYSIS TECHNOLOGIES</v>
          </cell>
          <cell r="E391" t="str">
            <v>MTEPIPRE</v>
          </cell>
          <cell r="F391"/>
          <cell r="G391">
            <v>41.515000000000001</v>
          </cell>
          <cell r="H391">
            <v>1.02</v>
          </cell>
          <cell r="I391">
            <v>42.345300000000002</v>
          </cell>
          <cell r="J391">
            <v>71.521211700000009</v>
          </cell>
          <cell r="K391">
            <v>2026</v>
          </cell>
          <cell r="L391"/>
          <cell r="M391">
            <v>71.521211700000009</v>
          </cell>
        </row>
        <row r="392">
          <cell r="A392" t="str">
            <v>040.056</v>
          </cell>
          <cell r="B392" t="str">
            <v>Electrovanne 2 voies pour Testomat ECO</v>
          </cell>
          <cell r="C392" t="str">
            <v>F1191900</v>
          </cell>
          <cell r="D392" t="str">
            <v>HEYL ANALYSIS TECHNOLOGIES</v>
          </cell>
          <cell r="E392" t="str">
            <v>MTEPIPRE</v>
          </cell>
          <cell r="F392"/>
          <cell r="G392">
            <v>144.4</v>
          </cell>
          <cell r="H392">
            <v>1.02</v>
          </cell>
          <cell r="I392">
            <v>147.28800000000001</v>
          </cell>
          <cell r="J392">
            <v>248.76943200000002</v>
          </cell>
          <cell r="K392">
            <v>2026</v>
          </cell>
          <cell r="L392"/>
          <cell r="M392">
            <v>248.76943200000002</v>
          </cell>
        </row>
        <row r="393">
          <cell r="A393" t="str">
            <v>040.060</v>
          </cell>
          <cell r="B393" t="str">
            <v>Faisceau de câbles (electrovanne)</v>
          </cell>
          <cell r="C393" t="str">
            <v>F1191900</v>
          </cell>
          <cell r="D393" t="str">
            <v>HEYL ANALYSIS TECHNOLOGIES</v>
          </cell>
          <cell r="E393" t="str">
            <v>MTEPIPRE</v>
          </cell>
          <cell r="F393"/>
          <cell r="G393">
            <v>123.5</v>
          </cell>
          <cell r="H393">
            <v>1.02</v>
          </cell>
          <cell r="I393">
            <v>125.97</v>
          </cell>
          <cell r="J393">
            <v>212.76333</v>
          </cell>
          <cell r="K393">
            <v>2026</v>
          </cell>
          <cell r="L393"/>
          <cell r="M393">
            <v>212.76333</v>
          </cell>
        </row>
        <row r="394">
          <cell r="A394" t="str">
            <v>040.062</v>
          </cell>
          <cell r="B394" t="str">
            <v>Faisceau de câbles (pompes)</v>
          </cell>
          <cell r="C394" t="str">
            <v>F1191900</v>
          </cell>
          <cell r="D394" t="str">
            <v>HEYL ANALYSIS TECHNOLOGIES</v>
          </cell>
          <cell r="E394" t="str">
            <v>MTEPIPRE</v>
          </cell>
          <cell r="F394"/>
          <cell r="G394">
            <v>37.340000000000003</v>
          </cell>
          <cell r="H394">
            <v>1.02</v>
          </cell>
          <cell r="I394">
            <v>38.086800000000004</v>
          </cell>
          <cell r="J394">
            <v>64.328605200000013</v>
          </cell>
          <cell r="K394">
            <v>2024</v>
          </cell>
          <cell r="L394"/>
          <cell r="M394">
            <v>64.328605200000013</v>
          </cell>
        </row>
        <row r="395">
          <cell r="A395" t="str">
            <v>040.091</v>
          </cell>
          <cell r="B395" t="str">
            <v>Platine  de mesure T2000</v>
          </cell>
          <cell r="C395" t="str">
            <v>F1191900</v>
          </cell>
          <cell r="D395" t="str">
            <v>HEYL ANALYSIS TECHNOLOGIES</v>
          </cell>
          <cell r="E395" t="str">
            <v>MTEPIPRE</v>
          </cell>
          <cell r="F395"/>
          <cell r="G395">
            <v>266</v>
          </cell>
          <cell r="H395">
            <v>1.02</v>
          </cell>
          <cell r="I395">
            <v>271.32</v>
          </cell>
          <cell r="J395">
            <v>458.25948</v>
          </cell>
          <cell r="K395">
            <v>2026</v>
          </cell>
          <cell r="L395"/>
          <cell r="M395">
            <v>458.25948</v>
          </cell>
        </row>
        <row r="396">
          <cell r="A396" t="str">
            <v>040.092</v>
          </cell>
          <cell r="B396" t="str">
            <v>Carte d'affichage T2000</v>
          </cell>
          <cell r="C396" t="str">
            <v>F1191900</v>
          </cell>
          <cell r="D396" t="str">
            <v>HEYL ANALYSIS TECHNOLOGIES</v>
          </cell>
          <cell r="E396" t="str">
            <v>MTEPIPRE</v>
          </cell>
          <cell r="F396"/>
          <cell r="G396">
            <v>570.5</v>
          </cell>
          <cell r="H396">
            <v>1.02</v>
          </cell>
          <cell r="I396">
            <v>581.91</v>
          </cell>
          <cell r="J396">
            <v>982.84599000000003</v>
          </cell>
          <cell r="K396">
            <v>2026</v>
          </cell>
          <cell r="L396"/>
          <cell r="M396">
            <v>982.84599000000003</v>
          </cell>
        </row>
        <row r="397">
          <cell r="A397" t="str">
            <v>040.096</v>
          </cell>
          <cell r="B397" t="str">
            <v>Nappe de liaison 1x13 pôles</v>
          </cell>
          <cell r="C397" t="str">
            <v>F1191900</v>
          </cell>
          <cell r="D397" t="str">
            <v>HEYL ANALYSIS TECHNOLOGIES</v>
          </cell>
          <cell r="E397" t="str">
            <v>MTEPIPRE</v>
          </cell>
          <cell r="F397"/>
          <cell r="G397">
            <v>38.475000000000001</v>
          </cell>
          <cell r="H397">
            <v>1.02</v>
          </cell>
          <cell r="I397">
            <v>39.244500000000002</v>
          </cell>
          <cell r="J397">
            <v>66.283960500000006</v>
          </cell>
          <cell r="K397">
            <v>2026</v>
          </cell>
          <cell r="L397"/>
          <cell r="M397">
            <v>66.283960500000006</v>
          </cell>
        </row>
        <row r="398">
          <cell r="A398" t="str">
            <v>040.098ES</v>
          </cell>
          <cell r="B398" t="str">
            <v>Bloc support analyse T2000 CLT (3T) - ES (sav)</v>
          </cell>
          <cell r="C398" t="str">
            <v>F1191900</v>
          </cell>
          <cell r="D398" t="str">
            <v>HEYL ANALYSIS TECHNOLOGIES</v>
          </cell>
          <cell r="E398" t="str">
            <v>MTEPIPRE</v>
          </cell>
          <cell r="F398"/>
          <cell r="G398">
            <v>387</v>
          </cell>
          <cell r="H398">
            <v>1.02</v>
          </cell>
          <cell r="I398">
            <v>394.74</v>
          </cell>
          <cell r="J398">
            <v>666.71586000000002</v>
          </cell>
          <cell r="K398">
            <v>2026</v>
          </cell>
          <cell r="L398"/>
          <cell r="M398">
            <v>666.71586000000002</v>
          </cell>
        </row>
        <row r="399">
          <cell r="A399" t="str">
            <v>040.099ES</v>
          </cell>
          <cell r="B399" t="str">
            <v>Bloc support analyse T2000 THCL / CLT Sc (4T) – ES (sav)</v>
          </cell>
          <cell r="C399" t="str">
            <v>F1191900</v>
          </cell>
          <cell r="D399" t="str">
            <v>HEYL ANALYSIS TECHNOLOGIES</v>
          </cell>
          <cell r="E399" t="str">
            <v>MTEPIPRE</v>
          </cell>
          <cell r="F399"/>
          <cell r="G399">
            <v>387</v>
          </cell>
          <cell r="H399">
            <v>1.02</v>
          </cell>
          <cell r="I399">
            <v>394.74</v>
          </cell>
          <cell r="J399">
            <v>666.71586000000002</v>
          </cell>
          <cell r="K399">
            <v>2026</v>
          </cell>
          <cell r="L399" t="str">
            <v>TS</v>
          </cell>
          <cell r="M399">
            <v>666.71586000000002</v>
          </cell>
        </row>
        <row r="400">
          <cell r="A400" t="str">
            <v>040.101ES</v>
          </cell>
          <cell r="B400" t="str">
            <v>Bloc support analyse T2000 DUO / TH Sc (2T) – ES (sav)</v>
          </cell>
          <cell r="C400" t="str">
            <v>F1191900</v>
          </cell>
          <cell r="D400" t="str">
            <v>HEYL ANALYSIS TECHNOLOGIES</v>
          </cell>
          <cell r="E400" t="str">
            <v>MTEPIPRE</v>
          </cell>
          <cell r="F400"/>
          <cell r="G400">
            <v>387</v>
          </cell>
          <cell r="H400">
            <v>1.02</v>
          </cell>
          <cell r="I400">
            <v>394.74</v>
          </cell>
          <cell r="J400">
            <v>666.71586000000002</v>
          </cell>
          <cell r="K400">
            <v>2026</v>
          </cell>
          <cell r="L400"/>
          <cell r="M400">
            <v>666.71586000000002</v>
          </cell>
        </row>
        <row r="401">
          <cell r="A401" t="str">
            <v>040.102ES</v>
          </cell>
          <cell r="B401" t="str">
            <v>Bloc support analyse T2000 ECO/EVO TH (1T) - ES (sav)</v>
          </cell>
          <cell r="C401" t="str">
            <v>F1191900</v>
          </cell>
          <cell r="D401" t="str">
            <v>HEYL ANALYSIS TECHNOLOGIES</v>
          </cell>
          <cell r="E401" t="str">
            <v>MTEPIPRE</v>
          </cell>
          <cell r="F401"/>
          <cell r="G401">
            <v>387</v>
          </cell>
          <cell r="H401">
            <v>1.02</v>
          </cell>
          <cell r="I401">
            <v>394.74</v>
          </cell>
          <cell r="J401">
            <v>666.71586000000002</v>
          </cell>
          <cell r="K401">
            <v>2026</v>
          </cell>
          <cell r="L401" t="str">
            <v>TS</v>
          </cell>
          <cell r="M401">
            <v>666.71586000000002</v>
          </cell>
        </row>
        <row r="402">
          <cell r="A402" t="str">
            <v>040.103</v>
          </cell>
          <cell r="B402" t="str">
            <v>Bloc support analyse T2000 CLT (3T)</v>
          </cell>
          <cell r="C402" t="str">
            <v>F1191900</v>
          </cell>
          <cell r="D402" t="str">
            <v>HEYL ANALYSIS TECHNOLOGIES</v>
          </cell>
          <cell r="E402" t="str">
            <v>MTEPIPRE</v>
          </cell>
          <cell r="F402"/>
          <cell r="G402">
            <v>694.2</v>
          </cell>
          <cell r="H402">
            <v>1.02</v>
          </cell>
          <cell r="I402">
            <v>708.08400000000006</v>
          </cell>
          <cell r="J402">
            <v>1195.953876</v>
          </cell>
          <cell r="K402">
            <v>2026</v>
          </cell>
          <cell r="L402" t="str">
            <v>TS</v>
          </cell>
          <cell r="M402">
            <v>1195.953876</v>
          </cell>
        </row>
        <row r="403">
          <cell r="A403" t="str">
            <v>040.105</v>
          </cell>
          <cell r="B403" t="str">
            <v>Bloc support analyse T2000 THCL / CLT Sc (4T)</v>
          </cell>
          <cell r="C403" t="str">
            <v>F1191900</v>
          </cell>
          <cell r="D403" t="str">
            <v>HEYL ANALYSIS TECHNOLOGIES</v>
          </cell>
          <cell r="E403" t="str">
            <v>MTEPIPRE</v>
          </cell>
          <cell r="F403"/>
          <cell r="G403">
            <v>694.2</v>
          </cell>
          <cell r="H403">
            <v>1.02</v>
          </cell>
          <cell r="I403">
            <v>708.08400000000006</v>
          </cell>
          <cell r="J403">
            <v>1195.953876</v>
          </cell>
          <cell r="K403">
            <v>2026</v>
          </cell>
          <cell r="L403" t="str">
            <v>TS</v>
          </cell>
          <cell r="M403">
            <v>1195.953876</v>
          </cell>
        </row>
        <row r="404">
          <cell r="A404" t="str">
            <v>040.108</v>
          </cell>
          <cell r="B404" t="str">
            <v>Bloc support analyse T2000 DUO / TH Sc (2T)</v>
          </cell>
          <cell r="C404" t="str">
            <v>F1191900</v>
          </cell>
          <cell r="D404" t="str">
            <v>HEYL ANALYSIS TECHNOLOGIES</v>
          </cell>
          <cell r="E404" t="str">
            <v>MTEPIPRE</v>
          </cell>
          <cell r="F404"/>
          <cell r="G404">
            <v>694.2</v>
          </cell>
          <cell r="H404">
            <v>1.02</v>
          </cell>
          <cell r="I404">
            <v>708.08400000000006</v>
          </cell>
          <cell r="J404">
            <v>1195.953876</v>
          </cell>
          <cell r="K404">
            <v>2026</v>
          </cell>
          <cell r="L404"/>
          <cell r="M404">
            <v>1195.953876</v>
          </cell>
        </row>
        <row r="405">
          <cell r="A405" t="str">
            <v>040.120</v>
          </cell>
          <cell r="B405" t="str">
            <v>Bloc Régulateur (seul)</v>
          </cell>
          <cell r="C405" t="str">
            <v>F1191900</v>
          </cell>
          <cell r="D405" t="str">
            <v>HEYL ANALYSIS TECHNOLOGIES</v>
          </cell>
          <cell r="E405" t="str">
            <v>MTEPIPRE</v>
          </cell>
          <cell r="F405"/>
          <cell r="G405">
            <v>45.790000000000006</v>
          </cell>
          <cell r="H405">
            <v>1.02</v>
          </cell>
          <cell r="I405">
            <v>46.705800000000011</v>
          </cell>
          <cell r="J405">
            <v>78.886096200000026</v>
          </cell>
          <cell r="K405">
            <v>2026</v>
          </cell>
          <cell r="L405"/>
          <cell r="M405">
            <v>78.886096200000026</v>
          </cell>
        </row>
        <row r="406">
          <cell r="A406" t="str">
            <v>040.121</v>
          </cell>
          <cell r="B406" t="str">
            <v>Raccord d'admission</v>
          </cell>
          <cell r="C406" t="str">
            <v>F1191900</v>
          </cell>
          <cell r="D406" t="str">
            <v>HEYL ANALYSIS TECHNOLOGIES</v>
          </cell>
          <cell r="E406" t="str">
            <v>MTEPIPRE</v>
          </cell>
          <cell r="F406"/>
          <cell r="G406">
            <v>10.962999999999999</v>
          </cell>
          <cell r="H406">
            <v>1.02</v>
          </cell>
          <cell r="I406">
            <v>11.182259999999999</v>
          </cell>
          <cell r="J406">
            <v>18.886837140000001</v>
          </cell>
          <cell r="K406">
            <v>2026</v>
          </cell>
          <cell r="L406"/>
          <cell r="M406">
            <v>18.886837140000001</v>
          </cell>
        </row>
        <row r="407">
          <cell r="A407" t="str">
            <v>040.122</v>
          </cell>
          <cell r="B407" t="str">
            <v>Raccord écoulement T2000</v>
          </cell>
          <cell r="C407" t="str">
            <v>F1191900</v>
          </cell>
          <cell r="D407" t="str">
            <v>HEYL ANALYSIS TECHNOLOGIES</v>
          </cell>
          <cell r="E407" t="str">
            <v>MTEPIPRE</v>
          </cell>
          <cell r="F407"/>
          <cell r="G407">
            <v>14.914999999999999</v>
          </cell>
          <cell r="H407">
            <v>1.02</v>
          </cell>
          <cell r="I407">
            <v>15.2133</v>
          </cell>
          <cell r="J407">
            <v>25.695263700000002</v>
          </cell>
          <cell r="K407">
            <v>2026</v>
          </cell>
          <cell r="L407"/>
          <cell r="M407">
            <v>25.695263700000002</v>
          </cell>
        </row>
        <row r="408">
          <cell r="A408" t="str">
            <v>040.124</v>
          </cell>
          <cell r="B408" t="str">
            <v>Kit de joints divers pour T2000</v>
          </cell>
          <cell r="C408" t="str">
            <v>F1191900</v>
          </cell>
          <cell r="D408" t="str">
            <v>HEYL ANALYSIS TECHNOLOGIES</v>
          </cell>
          <cell r="E408" t="str">
            <v>MTEPIPRE</v>
          </cell>
          <cell r="F408"/>
          <cell r="G408">
            <v>44.365000000000002</v>
          </cell>
          <cell r="H408">
            <v>1.02</v>
          </cell>
          <cell r="I408">
            <v>45.252300000000005</v>
          </cell>
          <cell r="J408">
            <v>76.431134700000015</v>
          </cell>
          <cell r="K408">
            <v>2026</v>
          </cell>
          <cell r="L408"/>
          <cell r="M408">
            <v>76.431134700000015</v>
          </cell>
        </row>
        <row r="409">
          <cell r="A409" t="str">
            <v>040.125</v>
          </cell>
          <cell r="B409" t="str">
            <v>Bloc régulateur / filtres complet T2000</v>
          </cell>
          <cell r="C409" t="str">
            <v>F1191900</v>
          </cell>
          <cell r="D409" t="str">
            <v>HEYL ANALYSIS TECHNOLOGIES</v>
          </cell>
          <cell r="E409" t="str">
            <v>MTEPIPRE</v>
          </cell>
          <cell r="F409"/>
          <cell r="G409">
            <v>103.55</v>
          </cell>
          <cell r="H409">
            <v>1.02</v>
          </cell>
          <cell r="I409">
            <v>105.621</v>
          </cell>
          <cell r="J409">
            <v>178.393869</v>
          </cell>
          <cell r="K409">
            <v>2026</v>
          </cell>
          <cell r="L409"/>
          <cell r="M409">
            <v>178.393869</v>
          </cell>
        </row>
        <row r="410">
          <cell r="A410" t="str">
            <v>040.127</v>
          </cell>
          <cell r="B410" t="str">
            <v>Bloc régulateur Complet (avec raccords, tuyau et joint) (Pressostat) T2000</v>
          </cell>
          <cell r="C410" t="str">
            <v>F1191900</v>
          </cell>
          <cell r="D410" t="str">
            <v>HEYL ANALYSIS TECHNOLOGIES</v>
          </cell>
          <cell r="E410" t="str">
            <v>MTEPIPRE</v>
          </cell>
          <cell r="F410"/>
          <cell r="G410">
            <v>138.69999999999999</v>
          </cell>
          <cell r="H410">
            <v>1.02</v>
          </cell>
          <cell r="I410">
            <v>141.47399999999999</v>
          </cell>
          <cell r="J410">
            <v>238.94958599999998</v>
          </cell>
          <cell r="K410">
            <v>2026</v>
          </cell>
          <cell r="L410"/>
          <cell r="M410">
            <v>238.94958599999998</v>
          </cell>
        </row>
        <row r="411">
          <cell r="A411" t="str">
            <v>040.129</v>
          </cell>
          <cell r="B411" t="str">
            <v>Bouchon Régulateur de pression  T2000</v>
          </cell>
          <cell r="C411" t="str">
            <v>F1191900</v>
          </cell>
          <cell r="D411" t="str">
            <v>HEYL ANALYSIS TECHNOLOGIES</v>
          </cell>
          <cell r="E411" t="str">
            <v>MTEPIPRE</v>
          </cell>
          <cell r="F411"/>
          <cell r="G411">
            <v>40.754999999999995</v>
          </cell>
          <cell r="H411">
            <v>1.02</v>
          </cell>
          <cell r="I411">
            <v>41.570099999999996</v>
          </cell>
          <cell r="J411">
            <v>70.211898899999994</v>
          </cell>
          <cell r="K411">
            <v>2026</v>
          </cell>
          <cell r="L411"/>
          <cell r="M411">
            <v>70.211898899999994</v>
          </cell>
        </row>
        <row r="412">
          <cell r="A412" t="str">
            <v>040.130</v>
          </cell>
          <cell r="B412" t="str">
            <v>Bouchon bleu flacon (seul)</v>
          </cell>
          <cell r="C412" t="str">
            <v>F1191900</v>
          </cell>
          <cell r="D412" t="str">
            <v>HEYL ANALYSIS TECHNOLOGIES</v>
          </cell>
          <cell r="E412" t="str">
            <v>MTEPIPRE</v>
          </cell>
          <cell r="F412"/>
          <cell r="G412">
            <v>4.3699999999999992</v>
          </cell>
          <cell r="H412">
            <v>1.02</v>
          </cell>
          <cell r="I412">
            <v>4.4573999999999989</v>
          </cell>
          <cell r="J412">
            <v>7.5285485999999988</v>
          </cell>
          <cell r="K412">
            <v>2026</v>
          </cell>
          <cell r="L412"/>
          <cell r="M412">
            <v>7.5285485999999988</v>
          </cell>
        </row>
        <row r="413">
          <cell r="A413" t="str">
            <v>040.131</v>
          </cell>
          <cell r="B413" t="str">
            <v>Tige d'aspiration + bouchon bleu</v>
          </cell>
          <cell r="C413" t="str">
            <v>F1191900</v>
          </cell>
          <cell r="D413" t="str">
            <v>HEYL ANALYSIS TECHNOLOGIES</v>
          </cell>
          <cell r="E413" t="str">
            <v>MTEPIPRE</v>
          </cell>
          <cell r="F413"/>
          <cell r="G413">
            <v>37.334999999999994</v>
          </cell>
          <cell r="H413">
            <v>1.02</v>
          </cell>
          <cell r="I413">
            <v>38.081699999999991</v>
          </cell>
          <cell r="J413">
            <v>64.319991299999984</v>
          </cell>
          <cell r="K413">
            <v>2026</v>
          </cell>
          <cell r="L413"/>
          <cell r="M413">
            <v>64.319991299999984</v>
          </cell>
        </row>
        <row r="414">
          <cell r="A414" t="str">
            <v>040.135</v>
          </cell>
          <cell r="B414" t="str">
            <v>Tige d'aspiration réactif (seule)</v>
          </cell>
          <cell r="C414" t="str">
            <v>F1191900</v>
          </cell>
          <cell r="D414" t="str">
            <v>HEYL ANALYSIS TECHNOLOGIES</v>
          </cell>
          <cell r="E414" t="str">
            <v>MTEPIPRE</v>
          </cell>
          <cell r="F414"/>
          <cell r="G414">
            <v>34.342500000000001</v>
          </cell>
          <cell r="H414">
            <v>1.02</v>
          </cell>
          <cell r="I414">
            <v>35.029350000000001</v>
          </cell>
          <cell r="J414">
            <v>59.164572150000005</v>
          </cell>
          <cell r="K414">
            <v>2026</v>
          </cell>
          <cell r="L414"/>
          <cell r="M414">
            <v>59.164572150000005</v>
          </cell>
        </row>
        <row r="415">
          <cell r="A415" t="str">
            <v>040.139</v>
          </cell>
          <cell r="B415" t="str">
            <v>Kit brosses de nettoyage</v>
          </cell>
          <cell r="C415" t="str">
            <v>F1191900</v>
          </cell>
          <cell r="D415" t="str">
            <v>HEYL ANALYSIS TECHNOLOGIES</v>
          </cell>
          <cell r="E415" t="str">
            <v>MTEPIPRE</v>
          </cell>
          <cell r="F415"/>
          <cell r="G415">
            <v>29</v>
          </cell>
          <cell r="H415">
            <v>1.02</v>
          </cell>
          <cell r="I415">
            <v>29.580000000000002</v>
          </cell>
          <cell r="J415">
            <v>49.960620000000006</v>
          </cell>
          <cell r="K415">
            <v>2026</v>
          </cell>
          <cell r="L415"/>
          <cell r="M415">
            <v>49.960620000000006</v>
          </cell>
        </row>
        <row r="416">
          <cell r="A416" t="str">
            <v>040.141</v>
          </cell>
          <cell r="B416" t="str">
            <v>Petit tuyau bleu (entrée EV) T2000</v>
          </cell>
          <cell r="C416" t="str">
            <v>F1191900</v>
          </cell>
          <cell r="D416" t="str">
            <v>HEYL ANALYSIS TECHNOLOGIES</v>
          </cell>
          <cell r="E416" t="str">
            <v>MTEPIPRE</v>
          </cell>
          <cell r="F416"/>
          <cell r="G416">
            <v>5.7</v>
          </cell>
          <cell r="H416">
            <v>1.02</v>
          </cell>
          <cell r="I416">
            <v>5.8140000000000001</v>
          </cell>
          <cell r="J416">
            <v>9.8198460000000001</v>
          </cell>
          <cell r="K416">
            <v>2026</v>
          </cell>
          <cell r="L416"/>
          <cell r="M416">
            <v>9.8198460000000001</v>
          </cell>
        </row>
        <row r="417">
          <cell r="A417" t="str">
            <v>040.142</v>
          </cell>
          <cell r="B417" t="str">
            <v>Petit tuyau bleu (sortie EV) T2000</v>
          </cell>
          <cell r="C417" t="str">
            <v>F1191900</v>
          </cell>
          <cell r="D417" t="str">
            <v>HEYL ANALYSIS TECHNOLOGIES</v>
          </cell>
          <cell r="E417" t="str">
            <v>MTEPIPRE</v>
          </cell>
          <cell r="F417"/>
          <cell r="G417">
            <v>5.7</v>
          </cell>
          <cell r="H417">
            <v>1.02</v>
          </cell>
          <cell r="I417">
            <v>5.8140000000000001</v>
          </cell>
          <cell r="J417">
            <v>9.8198460000000001</v>
          </cell>
          <cell r="K417">
            <v>2026</v>
          </cell>
          <cell r="L417"/>
          <cell r="M417">
            <v>9.8198460000000001</v>
          </cell>
        </row>
        <row r="418">
          <cell r="A418" t="str">
            <v>040.150</v>
          </cell>
          <cell r="B418" t="str">
            <v>Raccord bloc EV (unité) pour T2000/ECO/ECO TH</v>
          </cell>
          <cell r="C418" t="str">
            <v>F1191900</v>
          </cell>
          <cell r="D418" t="str">
            <v>HEYL ANALYSIS TECHNOLOGIES</v>
          </cell>
          <cell r="E418" t="str">
            <v>MTEPIPRE</v>
          </cell>
          <cell r="F418"/>
          <cell r="G418">
            <v>7.1724999999999994</v>
          </cell>
          <cell r="H418">
            <v>1.02</v>
          </cell>
          <cell r="I418">
            <v>7.31595</v>
          </cell>
          <cell r="J418">
            <v>12.356639550000001</v>
          </cell>
          <cell r="K418">
            <v>2026</v>
          </cell>
          <cell r="L418"/>
          <cell r="M418">
            <v>12.356639550000001</v>
          </cell>
        </row>
        <row r="419">
          <cell r="A419" t="str">
            <v>040.151</v>
          </cell>
          <cell r="B419" t="str">
            <v>Raccord à vis (admission d'eau) pour T2000</v>
          </cell>
          <cell r="C419" t="str">
            <v>F1191900</v>
          </cell>
          <cell r="D419" t="str">
            <v>HEYL ANALYSIS TECHNOLOGIES</v>
          </cell>
          <cell r="E419" t="str">
            <v>MTEPIPRE</v>
          </cell>
          <cell r="F419"/>
          <cell r="G419">
            <v>16.435000000000002</v>
          </cell>
          <cell r="H419">
            <v>1.02</v>
          </cell>
          <cell r="I419">
            <v>16.763700000000004</v>
          </cell>
          <cell r="J419">
            <v>28.313889300000007</v>
          </cell>
          <cell r="K419">
            <v>2026</v>
          </cell>
          <cell r="L419"/>
          <cell r="M419">
            <v>28.313889300000007</v>
          </cell>
        </row>
        <row r="420">
          <cell r="A420" t="str">
            <v>040.152</v>
          </cell>
          <cell r="B420" t="str">
            <v>Raccord rapide droit évacuation (Réduction 10-6) pour T2000</v>
          </cell>
          <cell r="C420" t="str">
            <v>F1191900</v>
          </cell>
          <cell r="D420" t="str">
            <v>HEYL ANALYSIS TECHNOLOGIES</v>
          </cell>
          <cell r="E420" t="str">
            <v>MTEPIPRE</v>
          </cell>
          <cell r="F420"/>
          <cell r="G420">
            <v>7.3150000000000004</v>
          </cell>
          <cell r="H420">
            <v>1.02</v>
          </cell>
          <cell r="I420">
            <v>7.4613000000000005</v>
          </cell>
          <cell r="J420">
            <v>12.602135700000002</v>
          </cell>
          <cell r="K420">
            <v>2026</v>
          </cell>
          <cell r="L420"/>
          <cell r="M420">
            <v>12.602135700000002</v>
          </cell>
        </row>
        <row r="421">
          <cell r="A421" t="str">
            <v>040.153</v>
          </cell>
          <cell r="B421" t="str">
            <v>Raccord rapide entrée pour T2000</v>
          </cell>
          <cell r="C421" t="str">
            <v>F1191900</v>
          </cell>
          <cell r="D421" t="str">
            <v>HEYL ANALYSIS TECHNOLOGIES</v>
          </cell>
          <cell r="E421" t="str">
            <v>MTEPIPRE</v>
          </cell>
          <cell r="F421"/>
          <cell r="G421">
            <v>20.995000000000001</v>
          </cell>
          <cell r="H421">
            <v>1.02</v>
          </cell>
          <cell r="I421">
            <v>21.414900000000003</v>
          </cell>
          <cell r="J421">
            <v>36.169766100000004</v>
          </cell>
          <cell r="K421">
            <v>2026</v>
          </cell>
          <cell r="L421"/>
          <cell r="M421">
            <v>36.169766100000004</v>
          </cell>
        </row>
        <row r="422">
          <cell r="A422" t="str">
            <v>040.154</v>
          </cell>
          <cell r="B422" t="str">
            <v>Raccord rapide coudé évacuation (6-6) pour T2000</v>
          </cell>
          <cell r="C422" t="str">
            <v>F1191900</v>
          </cell>
          <cell r="D422" t="str">
            <v>HEYL ANALYSIS TECHNOLOGIES</v>
          </cell>
          <cell r="E422" t="str">
            <v>MTEPIPRE</v>
          </cell>
          <cell r="F422"/>
          <cell r="G422">
            <v>7.3150000000000004</v>
          </cell>
          <cell r="H422">
            <v>1.02</v>
          </cell>
          <cell r="I422">
            <v>7.4613000000000005</v>
          </cell>
          <cell r="J422">
            <v>12.602135700000002</v>
          </cell>
          <cell r="K422">
            <v>2026</v>
          </cell>
          <cell r="L422"/>
          <cell r="M422">
            <v>12.602135700000002</v>
          </cell>
        </row>
        <row r="423">
          <cell r="A423" t="str">
            <v>040.157</v>
          </cell>
          <cell r="B423" t="str">
            <v>Raccord rapide coudé régulateur (G1/8''-6) pour T2000</v>
          </cell>
          <cell r="C423" t="str">
            <v>F1191900</v>
          </cell>
          <cell r="D423" t="str">
            <v>HEYL ANALYSIS TECHNOLOGIES</v>
          </cell>
          <cell r="E423" t="str">
            <v>MTEPIPRE</v>
          </cell>
          <cell r="F423"/>
          <cell r="G423">
            <v>10.260000000000002</v>
          </cell>
          <cell r="H423">
            <v>1.02</v>
          </cell>
          <cell r="I423">
            <v>10.465200000000001</v>
          </cell>
          <cell r="J423">
            <v>17.675722800000003</v>
          </cell>
          <cell r="K423">
            <v>2026</v>
          </cell>
          <cell r="L423"/>
          <cell r="M423">
            <v>17.675722800000003</v>
          </cell>
        </row>
        <row r="424">
          <cell r="A424" t="str">
            <v>040.170</v>
          </cell>
          <cell r="B424" t="str">
            <v>Fenêtre d'observation (seule) pour T2000</v>
          </cell>
          <cell r="C424" t="str">
            <v>F1191900</v>
          </cell>
          <cell r="D424" t="str">
            <v>HEYL ANALYSIS TECHNOLOGIES</v>
          </cell>
          <cell r="E424" t="str">
            <v>MTEPIPRE</v>
          </cell>
          <cell r="F424"/>
          <cell r="G424">
            <v>9.4050000000000011</v>
          </cell>
          <cell r="H424">
            <v>1.02</v>
          </cell>
          <cell r="I424">
            <v>9.5931000000000015</v>
          </cell>
          <cell r="J424">
            <v>16.202745900000004</v>
          </cell>
          <cell r="K424">
            <v>2026</v>
          </cell>
          <cell r="L424"/>
          <cell r="M424">
            <v>16.202745900000004</v>
          </cell>
        </row>
        <row r="425">
          <cell r="A425" t="str">
            <v>040.173</v>
          </cell>
          <cell r="B425" t="str">
            <v>Fenêtre + joint pour chambre</v>
          </cell>
          <cell r="C425" t="str">
            <v>F1191900</v>
          </cell>
          <cell r="D425" t="str">
            <v>HEYL ANALYSIS TECHNOLOGIES</v>
          </cell>
          <cell r="E425" t="str">
            <v>MTEPIPRE</v>
          </cell>
          <cell r="F425"/>
          <cell r="G425">
            <v>15.96</v>
          </cell>
          <cell r="H425">
            <v>1.02</v>
          </cell>
          <cell r="I425">
            <v>16.279199999999999</v>
          </cell>
          <cell r="J425">
            <v>27.495568800000001</v>
          </cell>
          <cell r="K425">
            <v>2026</v>
          </cell>
          <cell r="L425"/>
          <cell r="M425">
            <v>27.495568800000001</v>
          </cell>
        </row>
        <row r="426">
          <cell r="A426" t="str">
            <v>040.176</v>
          </cell>
          <cell r="B426" t="str">
            <v>Attache Fenêtre (unité)</v>
          </cell>
          <cell r="C426" t="str">
            <v>F1191900</v>
          </cell>
          <cell r="D426" t="str">
            <v>HEYL ANALYSIS TECHNOLOGIES</v>
          </cell>
          <cell r="E426" t="str">
            <v>MTEPIPRE</v>
          </cell>
          <cell r="F426"/>
          <cell r="G426">
            <v>11.685</v>
          </cell>
          <cell r="H426">
            <v>1.02</v>
          </cell>
          <cell r="I426">
            <v>11.918700000000001</v>
          </cell>
          <cell r="J426">
            <v>20.130684300000002</v>
          </cell>
          <cell r="K426">
            <v>2026</v>
          </cell>
          <cell r="L426"/>
          <cell r="M426">
            <v>20.130684300000002</v>
          </cell>
        </row>
        <row r="427">
          <cell r="A427" t="str">
            <v>040.186</v>
          </cell>
          <cell r="B427" t="str">
            <v>Raccord rapide sous bloc support (G3/8''-10) pour T2000</v>
          </cell>
          <cell r="C427" t="str">
            <v>F1191900</v>
          </cell>
          <cell r="D427" t="str">
            <v>HEYL ANALYSIS TECHNOLOGIES</v>
          </cell>
          <cell r="E427" t="str">
            <v>MTEPIPRE</v>
          </cell>
          <cell r="F427"/>
          <cell r="G427">
            <v>14.63</v>
          </cell>
          <cell r="H427">
            <v>1.02</v>
          </cell>
          <cell r="I427">
            <v>14.922600000000001</v>
          </cell>
          <cell r="J427">
            <v>25.204271400000003</v>
          </cell>
          <cell r="K427">
            <v>2026</v>
          </cell>
          <cell r="L427"/>
          <cell r="M427">
            <v>25.204271400000003</v>
          </cell>
        </row>
        <row r="428">
          <cell r="A428" t="str">
            <v>040.187</v>
          </cell>
          <cell r="B428" t="str">
            <v>Kit raccordement hydraulique T2000 / EVO TH</v>
          </cell>
          <cell r="C428" t="str">
            <v>F1191900</v>
          </cell>
          <cell r="D428" t="str">
            <v>HEYL ANALYSIS TECHNOLOGIES</v>
          </cell>
          <cell r="E428" t="str">
            <v>MTEPIPRE</v>
          </cell>
          <cell r="F428"/>
          <cell r="G428">
            <v>62.7</v>
          </cell>
          <cell r="H428">
            <v>1.02</v>
          </cell>
          <cell r="I428">
            <v>63.954000000000001</v>
          </cell>
          <cell r="J428">
            <v>108.01830600000001</v>
          </cell>
          <cell r="K428">
            <v>2026</v>
          </cell>
          <cell r="L428"/>
          <cell r="M428">
            <v>108.01830600000001</v>
          </cell>
        </row>
        <row r="429">
          <cell r="A429" t="str">
            <v>040.192</v>
          </cell>
          <cell r="B429" t="str">
            <v>Carte affichage ECO (remplacé par 040.332)</v>
          </cell>
          <cell r="C429" t="str">
            <v>F1191900</v>
          </cell>
          <cell r="D429" t="str">
            <v>HEYL ANALYSIS TECHNOLOGIES</v>
          </cell>
          <cell r="E429" t="str">
            <v>MTEPIPRE</v>
          </cell>
          <cell r="F429"/>
          <cell r="G429"/>
          <cell r="H429">
            <v>1.02</v>
          </cell>
          <cell r="I429">
            <v>0</v>
          </cell>
          <cell r="J429">
            <v>0</v>
          </cell>
          <cell r="K429"/>
          <cell r="L429"/>
          <cell r="M429">
            <v>0</v>
          </cell>
        </row>
        <row r="430">
          <cell r="A430" t="str">
            <v>040.197</v>
          </cell>
          <cell r="B430" t="str">
            <v>Interrupteur On/OFF</v>
          </cell>
          <cell r="C430" t="str">
            <v>F1191900</v>
          </cell>
          <cell r="D430" t="str">
            <v>HEYL ANALYSIS TECHNOLOGIES</v>
          </cell>
          <cell r="E430" t="str">
            <v>MTEPIPRE</v>
          </cell>
          <cell r="F430"/>
          <cell r="G430">
            <v>11.685</v>
          </cell>
          <cell r="H430">
            <v>1.02</v>
          </cell>
          <cell r="I430">
            <v>11.918700000000001</v>
          </cell>
          <cell r="J430">
            <v>20.130684300000002</v>
          </cell>
          <cell r="K430">
            <v>2026</v>
          </cell>
          <cell r="L430"/>
          <cell r="M430">
            <v>20.130684300000002</v>
          </cell>
        </row>
        <row r="431">
          <cell r="A431" t="str">
            <v>040.198</v>
          </cell>
          <cell r="B431" t="str">
            <v>Couvercle souple (cache interrupteur)</v>
          </cell>
          <cell r="C431" t="str">
            <v>F1191900</v>
          </cell>
          <cell r="D431" t="str">
            <v>HEYL ANALYSIS TECHNOLOGIES</v>
          </cell>
          <cell r="E431" t="str">
            <v>MTEPIPRE</v>
          </cell>
          <cell r="F431"/>
          <cell r="G431">
            <v>2.6599999999999997</v>
          </cell>
          <cell r="H431">
            <v>1.02</v>
          </cell>
          <cell r="I431">
            <v>2.7131999999999996</v>
          </cell>
          <cell r="J431">
            <v>4.5825947999999999</v>
          </cell>
          <cell r="K431">
            <v>2026</v>
          </cell>
          <cell r="L431"/>
          <cell r="M431">
            <v>4.5825947999999999</v>
          </cell>
        </row>
        <row r="432">
          <cell r="A432" t="str">
            <v>040.200</v>
          </cell>
          <cell r="B432" t="str">
            <v>Faisceau de câbles complet (interrupteur)</v>
          </cell>
          <cell r="C432" t="str">
            <v>F1191900</v>
          </cell>
          <cell r="D432" t="str">
            <v>HEYL ANALYSIS TECHNOLOGIES</v>
          </cell>
          <cell r="E432" t="str">
            <v>MTEPIPRE</v>
          </cell>
          <cell r="F432"/>
          <cell r="G432">
            <v>34.770000000000003</v>
          </cell>
          <cell r="H432">
            <v>1.02</v>
          </cell>
          <cell r="I432">
            <v>35.465400000000002</v>
          </cell>
          <cell r="J432">
            <v>59.901060600000008</v>
          </cell>
          <cell r="K432">
            <v>2026</v>
          </cell>
          <cell r="L432"/>
          <cell r="M432">
            <v>59.901060600000008</v>
          </cell>
        </row>
        <row r="433">
          <cell r="A433" t="str">
            <v>040.240</v>
          </cell>
          <cell r="B433" t="str">
            <v>Gros tuyau bleu vidange T2000 (sous bloc support) (ex. 040.140)</v>
          </cell>
          <cell r="C433" t="str">
            <v>F1191900</v>
          </cell>
          <cell r="D433" t="str">
            <v>HEYL ANALYSIS TECHNOLOGIES</v>
          </cell>
          <cell r="E433" t="str">
            <v>MTEPIPRE</v>
          </cell>
          <cell r="F433"/>
          <cell r="G433">
            <v>6.84</v>
          </cell>
          <cell r="H433">
            <v>1.02</v>
          </cell>
          <cell r="I433">
            <v>6.9767999999999999</v>
          </cell>
          <cell r="J433">
            <v>11.783815199999999</v>
          </cell>
          <cell r="K433">
            <v>2026</v>
          </cell>
          <cell r="L433"/>
          <cell r="M433">
            <v>11.783815199999999</v>
          </cell>
        </row>
        <row r="434">
          <cell r="A434" t="str">
            <v>040.294</v>
          </cell>
          <cell r="B434" t="str">
            <v>Carte mère T2000 - 230V</v>
          </cell>
          <cell r="C434" t="str">
            <v>F1191900</v>
          </cell>
          <cell r="D434" t="str">
            <v>HEYL ANALYSIS TECHNOLOGIES</v>
          </cell>
          <cell r="E434" t="str">
            <v>MTEPIPRE</v>
          </cell>
          <cell r="F434"/>
          <cell r="G434">
            <v>801.5</v>
          </cell>
          <cell r="H434">
            <v>1.02</v>
          </cell>
          <cell r="I434">
            <v>817.53</v>
          </cell>
          <cell r="J434">
            <v>1380.80817</v>
          </cell>
          <cell r="K434">
            <v>2026</v>
          </cell>
          <cell r="L434" t="str">
            <v>TS</v>
          </cell>
          <cell r="M434">
            <v>1380.80817</v>
          </cell>
        </row>
        <row r="435">
          <cell r="A435" t="str">
            <v>040.320</v>
          </cell>
          <cell r="B435" t="str">
            <v>Raccord L - dessus chambre mesure T2000</v>
          </cell>
          <cell r="C435" t="str">
            <v>F1191900</v>
          </cell>
          <cell r="D435" t="str">
            <v>HEYL ANALYSIS TECHNOLOGIES</v>
          </cell>
          <cell r="E435" t="str">
            <v>MTEPIPRE</v>
          </cell>
          <cell r="F435"/>
          <cell r="G435">
            <v>7.7899999999999991</v>
          </cell>
          <cell r="H435">
            <v>1.02</v>
          </cell>
          <cell r="I435">
            <v>7.9457999999999993</v>
          </cell>
          <cell r="J435">
            <v>13.420456199999999</v>
          </cell>
          <cell r="K435">
            <v>2026</v>
          </cell>
          <cell r="L435"/>
          <cell r="M435">
            <v>13.420456199999999</v>
          </cell>
        </row>
        <row r="436">
          <cell r="A436" t="str">
            <v>040.332</v>
          </cell>
          <cell r="B436" t="str">
            <v>Carte affichage T.ECO (remplace 040.192)</v>
          </cell>
          <cell r="C436" t="str">
            <v>F1191900</v>
          </cell>
          <cell r="D436" t="str">
            <v>HEYL ANALYSIS TECHNOLOGIES</v>
          </cell>
          <cell r="E436" t="str">
            <v>MTEPIPRE</v>
          </cell>
          <cell r="F436"/>
          <cell r="G436">
            <v>448</v>
          </cell>
          <cell r="H436">
            <v>1.02</v>
          </cell>
          <cell r="I436">
            <v>456.96000000000004</v>
          </cell>
          <cell r="J436">
            <v>771.80544000000009</v>
          </cell>
          <cell r="K436">
            <v>2026</v>
          </cell>
          <cell r="L436" t="str">
            <v>TS</v>
          </cell>
          <cell r="M436">
            <v>771.80544000000009</v>
          </cell>
        </row>
        <row r="437">
          <cell r="A437" t="str">
            <v>049.496</v>
          </cell>
          <cell r="B437" t="str">
            <v>EPROM T2000 CLT SelfClean (FR)</v>
          </cell>
          <cell r="C437" t="str">
            <v>F1191900</v>
          </cell>
          <cell r="D437" t="str">
            <v>HEYL ANALYSIS TECHNOLOGIES</v>
          </cell>
          <cell r="E437" t="str">
            <v>MTEPIPRE</v>
          </cell>
          <cell r="F437"/>
          <cell r="G437">
            <v>0</v>
          </cell>
          <cell r="H437">
            <v>1.02</v>
          </cell>
          <cell r="I437">
            <v>0</v>
          </cell>
          <cell r="J437">
            <v>0</v>
          </cell>
          <cell r="K437"/>
          <cell r="L437"/>
          <cell r="M437">
            <v>0</v>
          </cell>
        </row>
        <row r="438">
          <cell r="A438" t="str">
            <v>100.490</v>
          </cell>
          <cell r="B438" t="str">
            <v>Data Logger Enregistreur de données sur carte SD pour T2000 (inclus carte SD)</v>
          </cell>
          <cell r="C438" t="str">
            <v>F1191900</v>
          </cell>
          <cell r="D438" t="str">
            <v>HEYL ANALYSIS TECHNOLOGIES</v>
          </cell>
          <cell r="E438" t="str">
            <v>MTEPIPRE</v>
          </cell>
          <cell r="F438"/>
          <cell r="G438">
            <v>217.55</v>
          </cell>
          <cell r="H438">
            <v>1.02</v>
          </cell>
          <cell r="I438">
            <v>221.90100000000001</v>
          </cell>
          <cell r="J438">
            <v>374.79078900000002</v>
          </cell>
          <cell r="K438" t="str">
            <v>[2023]</v>
          </cell>
          <cell r="L438"/>
          <cell r="M438">
            <v>374.79078900000002</v>
          </cell>
        </row>
        <row r="439">
          <cell r="A439" t="str">
            <v>100.492</v>
          </cell>
          <cell r="B439" t="str">
            <v>Data Logger Enregistreur de réseau pour T2000</v>
          </cell>
          <cell r="C439" t="str">
            <v>F1191900</v>
          </cell>
          <cell r="D439" t="str">
            <v>HEYL ANALYSIS TECHNOLOGIES</v>
          </cell>
          <cell r="E439" t="str">
            <v>MTEPIPRE</v>
          </cell>
          <cell r="F439"/>
          <cell r="G439">
            <v>387.6</v>
          </cell>
          <cell r="H439">
            <v>1.02</v>
          </cell>
          <cell r="I439">
            <v>395.35200000000003</v>
          </cell>
          <cell r="J439">
            <v>667.74952800000005</v>
          </cell>
          <cell r="K439" t="str">
            <v>[2023]</v>
          </cell>
          <cell r="L439"/>
          <cell r="M439">
            <v>667.74952800000005</v>
          </cell>
        </row>
        <row r="440">
          <cell r="A440" t="str">
            <v>270.305</v>
          </cell>
          <cell r="B440" t="str">
            <v>Interface SK 910 pour T2000 (Carte d‘extension interface électrique 0–20 mA ou 4–20 mA)</v>
          </cell>
          <cell r="C440" t="str">
            <v>F1191900</v>
          </cell>
          <cell r="D440" t="str">
            <v>HEYL ANALYSIS TECHNOLOGIES</v>
          </cell>
          <cell r="E440" t="str">
            <v>MTEPIPRE</v>
          </cell>
          <cell r="F440"/>
          <cell r="G440">
            <v>205.2</v>
          </cell>
          <cell r="H440">
            <v>1.02</v>
          </cell>
          <cell r="I440">
            <v>209.304</v>
          </cell>
          <cell r="J440">
            <v>353.514456</v>
          </cell>
          <cell r="K440" t="str">
            <v>[2023]</v>
          </cell>
          <cell r="L440"/>
          <cell r="M440">
            <v>353.514456</v>
          </cell>
        </row>
        <row r="441">
          <cell r="A441" t="str">
            <v>100.910</v>
          </cell>
          <cell r="B441" t="str">
            <v>Capot complet vide TECO</v>
          </cell>
          <cell r="C441" t="str">
            <v>F1191900</v>
          </cell>
          <cell r="D441" t="str">
            <v>HEYL ANALYSIS TECHNOLOGIES</v>
          </cell>
          <cell r="E441" t="str">
            <v>MTEPIPRE</v>
          </cell>
          <cell r="F441"/>
          <cell r="G441">
            <v>546</v>
          </cell>
          <cell r="H441">
            <v>1.02</v>
          </cell>
          <cell r="I441">
            <v>556.91999999999996</v>
          </cell>
          <cell r="J441">
            <v>940.63788</v>
          </cell>
          <cell r="K441">
            <v>2026</v>
          </cell>
          <cell r="L441"/>
          <cell r="M441">
            <v>940.63788</v>
          </cell>
        </row>
        <row r="442">
          <cell r="A442" t="str">
            <v>270.410</v>
          </cell>
          <cell r="B442" t="str">
            <v>Pompe MEPUClip - T2000 (Booter)</v>
          </cell>
          <cell r="C442" t="str">
            <v>F1191900</v>
          </cell>
          <cell r="D442" t="str">
            <v>HEYL ANALYSIS TECHNOLOGIES</v>
          </cell>
          <cell r="E442" t="str">
            <v>MTEPIPRE</v>
          </cell>
          <cell r="F442"/>
          <cell r="G442">
            <v>539</v>
          </cell>
          <cell r="H442">
            <v>1.02</v>
          </cell>
          <cell r="I442">
            <v>549.78</v>
          </cell>
          <cell r="J442">
            <v>928.57841999999994</v>
          </cell>
          <cell r="K442">
            <v>2026</v>
          </cell>
          <cell r="L442" t="str">
            <v>TS</v>
          </cell>
          <cell r="M442">
            <v>928.57841999999994</v>
          </cell>
        </row>
        <row r="443">
          <cell r="A443" t="str">
            <v>270.440</v>
          </cell>
          <cell r="B443" t="str">
            <v>Pompe FLOWClip - T2000 (dosage produit SelfClean)</v>
          </cell>
          <cell r="C443" t="str">
            <v>F1191900</v>
          </cell>
          <cell r="D443" t="str">
            <v>HEYL ANALYSIS TECHNOLOGIES</v>
          </cell>
          <cell r="E443" t="str">
            <v>MTEPIPRE</v>
          </cell>
          <cell r="F443"/>
          <cell r="G443">
            <v>569.4</v>
          </cell>
          <cell r="H443">
            <v>1.02</v>
          </cell>
          <cell r="I443">
            <v>580.78800000000001</v>
          </cell>
          <cell r="J443">
            <v>980.95093200000008</v>
          </cell>
          <cell r="K443">
            <v>2026</v>
          </cell>
          <cell r="L443" t="str">
            <v>TS</v>
          </cell>
          <cell r="M443">
            <v>980.95093200000008</v>
          </cell>
        </row>
        <row r="444">
          <cell r="A444" t="str">
            <v>040.999</v>
          </cell>
          <cell r="B444" t="str">
            <v>Kit de dépannage 1ère urgence T2000</v>
          </cell>
          <cell r="C444" t="str">
            <v>F1191900</v>
          </cell>
          <cell r="D444" t="str">
            <v>HEYL ANALYSIS TECHNOLOGIES</v>
          </cell>
          <cell r="E444" t="str">
            <v>MTEPIPRE</v>
          </cell>
          <cell r="F444"/>
          <cell r="G444">
            <v>175</v>
          </cell>
          <cell r="H444">
            <v>1.02</v>
          </cell>
          <cell r="I444">
            <v>178.5</v>
          </cell>
          <cell r="J444">
            <v>301.48650000000004</v>
          </cell>
          <cell r="K444">
            <v>2026</v>
          </cell>
          <cell r="L444" t="str">
            <v>TS</v>
          </cell>
          <cell r="M444">
            <v>301.48650000000004</v>
          </cell>
        </row>
        <row r="445">
          <cell r="A445" t="str">
            <v>040.016</v>
          </cell>
          <cell r="B445" t="str">
            <v>Capillaire d'injection</v>
          </cell>
          <cell r="C445" t="str">
            <v>F1191900</v>
          </cell>
          <cell r="D445" t="str">
            <v>HEYL ANALYSIS TECHNOLOGIES</v>
          </cell>
          <cell r="E445" t="str">
            <v>MTEPIPRE</v>
          </cell>
          <cell r="F445"/>
          <cell r="G445">
            <v>44.27</v>
          </cell>
          <cell r="H445">
            <v>1.02</v>
          </cell>
          <cell r="I445">
            <v>45.155400000000007</v>
          </cell>
          <cell r="J445">
            <v>76.26747060000001</v>
          </cell>
          <cell r="K445">
            <v>2026</v>
          </cell>
          <cell r="L445"/>
          <cell r="M445">
            <v>76.26747060000001</v>
          </cell>
        </row>
        <row r="446">
          <cell r="A446" t="str">
            <v>040.011</v>
          </cell>
          <cell r="B446" t="str">
            <v>Capillaire d'aspiration</v>
          </cell>
          <cell r="C446" t="str">
            <v>F1191900</v>
          </cell>
          <cell r="D446" t="str">
            <v>HEYL ANALYSIS TECHNOLOGIES</v>
          </cell>
          <cell r="E446" t="str">
            <v>MTEPIPRE</v>
          </cell>
          <cell r="F446"/>
          <cell r="G446">
            <v>44.27</v>
          </cell>
          <cell r="H446">
            <v>1.02</v>
          </cell>
          <cell r="I446">
            <v>45.155400000000007</v>
          </cell>
          <cell r="J446">
            <v>76.26747060000001</v>
          </cell>
          <cell r="K446">
            <v>2026</v>
          </cell>
          <cell r="L446"/>
          <cell r="M446">
            <v>76.26747060000001</v>
          </cell>
        </row>
        <row r="447">
          <cell r="A447" t="str">
            <v>TSERHEYL (MO)</v>
          </cell>
          <cell r="B447" t="str">
            <v>Main d'œuvre atelier</v>
          </cell>
          <cell r="C447" t="str">
            <v>F1191900</v>
          </cell>
          <cell r="D447" t="str">
            <v>HEYL ANALYSIS TECHNOLOGIES</v>
          </cell>
          <cell r="E447" t="str">
            <v>MTEPIPRE</v>
          </cell>
          <cell r="F447"/>
          <cell r="G447">
            <v>47</v>
          </cell>
          <cell r="H447">
            <v>1.02</v>
          </cell>
          <cell r="I447">
            <v>47.94</v>
          </cell>
          <cell r="J447">
            <v>70</v>
          </cell>
          <cell r="K447">
            <v>2025</v>
          </cell>
          <cell r="L447"/>
          <cell r="M447">
            <v>80</v>
          </cell>
        </row>
        <row r="448">
          <cell r="A448" t="str">
            <v>040.701</v>
          </cell>
          <cell r="B448" t="str">
            <v>Kit pompe doseuse (piston doseur + joints + ressort + valves + bloc dosage)</v>
          </cell>
          <cell r="C448" t="str">
            <v>F1191900</v>
          </cell>
          <cell r="D448" t="str">
            <v>HEYL ANALYSIS TECHNOLOGIES</v>
          </cell>
          <cell r="E448" t="str">
            <v>MTEPIPRE</v>
          </cell>
          <cell r="F448"/>
          <cell r="G448">
            <v>145</v>
          </cell>
          <cell r="H448">
            <v>1.02</v>
          </cell>
          <cell r="I448">
            <v>147.9</v>
          </cell>
          <cell r="J448">
            <v>211.28571428571431</v>
          </cell>
          <cell r="K448">
            <v>2025</v>
          </cell>
          <cell r="L448"/>
          <cell r="M448">
            <v>246.50000000000003</v>
          </cell>
        </row>
        <row r="449">
          <cell r="A449" t="str">
            <v>040.040</v>
          </cell>
          <cell r="B449" t="str">
            <v>Kit valves pompe T2000/ECO</v>
          </cell>
          <cell r="C449" t="str">
            <v>F1191900</v>
          </cell>
          <cell r="D449" t="str">
            <v>HEYL ANALYSIS TECHNOLOGIES</v>
          </cell>
          <cell r="E449" t="str">
            <v>MTEPIPRE</v>
          </cell>
          <cell r="F449"/>
          <cell r="G449">
            <v>32</v>
          </cell>
          <cell r="H449">
            <v>1.02</v>
          </cell>
          <cell r="I449">
            <v>32.64</v>
          </cell>
          <cell r="J449">
            <v>55.128959999999999</v>
          </cell>
          <cell r="K449">
            <v>2025</v>
          </cell>
          <cell r="L449"/>
          <cell r="M449">
            <v>55.128959999999999</v>
          </cell>
        </row>
        <row r="450">
          <cell r="A450" t="str">
            <v>040.901</v>
          </cell>
          <cell r="B450" t="str">
            <v>Kit entretien annuel pour T2000/ECO (1P)</v>
          </cell>
          <cell r="C450" t="str">
            <v>F1191900</v>
          </cell>
          <cell r="D450" t="str">
            <v>HEYL ANALYSIS TECHNOLOGIES</v>
          </cell>
          <cell r="E450" t="str">
            <v>MTEPIPRE</v>
          </cell>
          <cell r="F450" t="str">
            <v>TTEHEYL</v>
          </cell>
          <cell r="G450">
            <v>170</v>
          </cell>
          <cell r="H450">
            <v>1.02</v>
          </cell>
          <cell r="I450">
            <v>173.4</v>
          </cell>
          <cell r="J450">
            <v>247.71428571428575</v>
          </cell>
          <cell r="K450">
            <v>2026</v>
          </cell>
          <cell r="L450" t="str">
            <v>TS</v>
          </cell>
          <cell r="M450">
            <v>289</v>
          </cell>
        </row>
        <row r="451">
          <cell r="A451" t="str">
            <v>040.902</v>
          </cell>
          <cell r="B451" t="str">
            <v>Kit entretien annuel pour T2000 DUO/CLF/TH SelfClean (2P)</v>
          </cell>
          <cell r="C451" t="str">
            <v>F1191900</v>
          </cell>
          <cell r="D451" t="str">
            <v>HEYL ANALYSIS TECHNOLOGIES</v>
          </cell>
          <cell r="E451" t="str">
            <v>MTEPIPRE</v>
          </cell>
          <cell r="F451" t="str">
            <v>TTEHEYL</v>
          </cell>
          <cell r="G451">
            <v>265</v>
          </cell>
          <cell r="H451">
            <v>1.02</v>
          </cell>
          <cell r="I451">
            <v>270.3</v>
          </cell>
          <cell r="J451">
            <v>386.14285714285717</v>
          </cell>
          <cell r="K451">
            <v>2026</v>
          </cell>
          <cell r="L451" t="str">
            <v>TS</v>
          </cell>
          <cell r="M451">
            <v>450.50000000000006</v>
          </cell>
        </row>
        <row r="452">
          <cell r="A452" t="str">
            <v>040.903</v>
          </cell>
          <cell r="B452" t="str">
            <v>Kit entretien annuel pour T2000 CLT (3P)</v>
          </cell>
          <cell r="C452" t="str">
            <v>F1191900</v>
          </cell>
          <cell r="D452" t="str">
            <v>HEYL ANALYSIS TECHNOLOGIES</v>
          </cell>
          <cell r="E452" t="str">
            <v>MTEPIPRE</v>
          </cell>
          <cell r="F452" t="str">
            <v>TTEHEYL</v>
          </cell>
          <cell r="G452">
            <v>359</v>
          </cell>
          <cell r="H452">
            <v>1.02</v>
          </cell>
          <cell r="I452">
            <v>366.18</v>
          </cell>
          <cell r="J452">
            <v>523.11428571428576</v>
          </cell>
          <cell r="K452">
            <v>2026</v>
          </cell>
          <cell r="L452" t="str">
            <v>TS</v>
          </cell>
          <cell r="M452">
            <v>610.30000000000007</v>
          </cell>
        </row>
        <row r="453">
          <cell r="A453" t="str">
            <v>040.904</v>
          </cell>
          <cell r="B453" t="str">
            <v>Kit entretien annuel pour T2000 THCL/CLT SelfClean (4P)</v>
          </cell>
          <cell r="C453" t="str">
            <v>F1191900</v>
          </cell>
          <cell r="D453" t="str">
            <v>HEYL ANALYSIS TECHNOLOGIES</v>
          </cell>
          <cell r="E453" t="str">
            <v>MTEPIPRE</v>
          </cell>
          <cell r="F453" t="str">
            <v>TTEHEYL</v>
          </cell>
          <cell r="G453">
            <v>461</v>
          </cell>
          <cell r="H453">
            <v>1.02</v>
          </cell>
          <cell r="I453">
            <v>470.22</v>
          </cell>
          <cell r="J453">
            <v>671.74285714285725</v>
          </cell>
          <cell r="K453">
            <v>2026</v>
          </cell>
          <cell r="L453" t="str">
            <v>TS</v>
          </cell>
          <cell r="M453">
            <v>783.7</v>
          </cell>
        </row>
        <row r="454">
          <cell r="A454" t="str">
            <v>100.097</v>
          </cell>
          <cell r="B454" t="str">
            <v>TESTOMAT 2000 STD - 230v (TH)</v>
          </cell>
          <cell r="C454" t="str">
            <v>F1191900</v>
          </cell>
          <cell r="D454" t="str">
            <v>HEYL ANALYSIS TECHNOLOGIES</v>
          </cell>
          <cell r="E454" t="str">
            <v>MTEPIPRE</v>
          </cell>
          <cell r="F454" t="str">
            <v>TTEHEYL</v>
          </cell>
          <cell r="G454">
            <v>2520</v>
          </cell>
          <cell r="H454">
            <v>1.02</v>
          </cell>
          <cell r="I454">
            <v>2570.4</v>
          </cell>
          <cell r="J454">
            <v>3672.0000000000005</v>
          </cell>
          <cell r="K454">
            <v>2026</v>
          </cell>
          <cell r="L454" t="str">
            <v>TS</v>
          </cell>
          <cell r="M454">
            <v>4284</v>
          </cell>
        </row>
        <row r="455">
          <cell r="A455" t="str">
            <v>100.142</v>
          </cell>
          <cell r="B455" t="str">
            <v>TESTOMAT 2000 CLT - 230v (CLT)</v>
          </cell>
          <cell r="C455" t="str">
            <v>F1191900</v>
          </cell>
          <cell r="D455" t="str">
            <v>HEYL ANALYSIS TECHNOLOGIES</v>
          </cell>
          <cell r="E455" t="str">
            <v>MTEPIPRE</v>
          </cell>
          <cell r="F455" t="str">
            <v>TTEHEYL</v>
          </cell>
          <cell r="G455">
            <v>3115</v>
          </cell>
          <cell r="H455">
            <v>1.02</v>
          </cell>
          <cell r="I455">
            <v>3177.3</v>
          </cell>
          <cell r="J455">
            <v>4539.0000000000009</v>
          </cell>
          <cell r="K455">
            <v>2026</v>
          </cell>
          <cell r="L455" t="str">
            <v>TS</v>
          </cell>
          <cell r="M455">
            <v>5295.5000000000009</v>
          </cell>
        </row>
        <row r="456">
          <cell r="A456" t="str">
            <v>100.242</v>
          </cell>
          <cell r="B456" t="str">
            <v>TESTOMAT 2000 CLF - 230v (CLF)</v>
          </cell>
          <cell r="C456" t="str">
            <v>F1191900</v>
          </cell>
          <cell r="D456" t="str">
            <v>HEYL ANALYSIS TECHNOLOGIES</v>
          </cell>
          <cell r="E456" t="str">
            <v>MTEPIPRE</v>
          </cell>
          <cell r="F456" t="str">
            <v>TTEHEYL</v>
          </cell>
          <cell r="G456">
            <v>2855</v>
          </cell>
          <cell r="H456">
            <v>1.02</v>
          </cell>
          <cell r="I456">
            <v>2912.1</v>
          </cell>
          <cell r="J456">
            <v>4160.1428571428569</v>
          </cell>
          <cell r="K456">
            <v>2026</v>
          </cell>
          <cell r="L456" t="str">
            <v>TS</v>
          </cell>
          <cell r="M456">
            <v>4853.5</v>
          </cell>
        </row>
        <row r="457">
          <cell r="A457" t="str">
            <v>100.247</v>
          </cell>
          <cell r="B457" t="str">
            <v>TESTOMAT 2000 CLT SelfClean - 230v</v>
          </cell>
          <cell r="C457" t="str">
            <v>F1191900</v>
          </cell>
          <cell r="D457" t="str">
            <v>HEYL ANALYSIS TECHNOLOGIES</v>
          </cell>
          <cell r="E457" t="str">
            <v>MTEPIPRE</v>
          </cell>
          <cell r="F457" t="str">
            <v>TTEHEYL</v>
          </cell>
          <cell r="G457">
            <v>3840</v>
          </cell>
          <cell r="H457">
            <v>1.02</v>
          </cell>
          <cell r="I457">
            <v>3916.8</v>
          </cell>
          <cell r="J457">
            <v>5595.4285714285725</v>
          </cell>
          <cell r="K457">
            <v>2026</v>
          </cell>
          <cell r="L457" t="str">
            <v>TS</v>
          </cell>
          <cell r="M457">
            <v>6528.0000000000009</v>
          </cell>
        </row>
        <row r="458">
          <cell r="A458" t="str">
            <v>100.282</v>
          </cell>
          <cell r="B458" t="str">
            <v>TESTOMAT 2000 THCL - 230v (TH+CLT)</v>
          </cell>
          <cell r="C458" t="str">
            <v>F1191900</v>
          </cell>
          <cell r="D458" t="str">
            <v>HEYL ANALYSIS TECHNOLOGIES</v>
          </cell>
          <cell r="E458" t="str">
            <v>MTEPIPRE</v>
          </cell>
          <cell r="F458" t="str">
            <v>TTEHEYL</v>
          </cell>
          <cell r="G458">
            <v>3910</v>
          </cell>
          <cell r="H458">
            <v>1.02</v>
          </cell>
          <cell r="I458">
            <v>3988.2000000000003</v>
          </cell>
          <cell r="J458">
            <v>5697.4285714285725</v>
          </cell>
          <cell r="K458">
            <v>2026</v>
          </cell>
          <cell r="L458" t="str">
            <v>TS</v>
          </cell>
          <cell r="M458">
            <v>6647.0000000000009</v>
          </cell>
        </row>
        <row r="459">
          <cell r="A459" t="str">
            <v>100.372</v>
          </cell>
          <cell r="B459" t="str">
            <v>TESTOMAT 2000 STD SelfClean - 230v (TH)</v>
          </cell>
          <cell r="C459" t="str">
            <v>F1191900</v>
          </cell>
          <cell r="D459" t="str">
            <v>HEYL ANALYSIS TECHNOLOGIES</v>
          </cell>
          <cell r="E459" t="str">
            <v>MTEPIPRE</v>
          </cell>
          <cell r="F459" t="str">
            <v>TTEHEYL</v>
          </cell>
          <cell r="G459">
            <v>3040</v>
          </cell>
          <cell r="H459">
            <v>1.02</v>
          </cell>
          <cell r="I459">
            <v>3100.8</v>
          </cell>
          <cell r="J459">
            <v>4429.7142857142862</v>
          </cell>
          <cell r="K459">
            <v>2026</v>
          </cell>
          <cell r="L459" t="str">
            <v>TS</v>
          </cell>
          <cell r="M459">
            <v>5168.0000000000009</v>
          </cell>
        </row>
        <row r="460">
          <cell r="A460" t="str">
            <v>100.704</v>
          </cell>
          <cell r="B460" t="str">
            <v>TESTOMAT EVO TH - 100v/234v (remplace Testomat ECO)</v>
          </cell>
          <cell r="C460" t="str">
            <v>F1191900</v>
          </cell>
          <cell r="D460" t="str">
            <v>HEYL ANALYSIS TECHNOLOGIES</v>
          </cell>
          <cell r="E460" t="str">
            <v>MTEPIPRE</v>
          </cell>
          <cell r="F460" t="str">
            <v>TTEHEYL</v>
          </cell>
          <cell r="G460">
            <v>2321</v>
          </cell>
          <cell r="H460">
            <v>1.02</v>
          </cell>
          <cell r="I460">
            <v>2367.42</v>
          </cell>
          <cell r="J460">
            <v>3382.0285714285719</v>
          </cell>
          <cell r="K460">
            <v>2026</v>
          </cell>
          <cell r="L460" t="str">
            <v>TS</v>
          </cell>
          <cell r="M460">
            <v>3945.7000000000003</v>
          </cell>
        </row>
        <row r="461">
          <cell r="A461" t="str">
            <v>151.105</v>
          </cell>
          <cell r="B461" t="str">
            <v>Réactif Nettoyant/Désinfectant SelfClean pour Testomat 2000 (500ml)</v>
          </cell>
          <cell r="C461" t="str">
            <v>F1191900</v>
          </cell>
          <cell r="D461" t="str">
            <v>HEYL ANALYSIS TECHNOLOGIES</v>
          </cell>
          <cell r="E461" t="str">
            <v>MTETTCOR</v>
          </cell>
          <cell r="F461" t="str">
            <v>TTEHEYL</v>
          </cell>
          <cell r="G461">
            <v>62</v>
          </cell>
          <cell r="H461">
            <v>1.02</v>
          </cell>
          <cell r="I461">
            <v>63.24</v>
          </cell>
          <cell r="J461">
            <v>90.342857142857156</v>
          </cell>
          <cell r="K461">
            <v>2026</v>
          </cell>
          <cell r="L461" t="str">
            <v>TS</v>
          </cell>
          <cell r="M461">
            <v>105.4</v>
          </cell>
        </row>
        <row r="462">
          <cell r="A462" t="str">
            <v>152.025</v>
          </cell>
          <cell r="B462" t="str">
            <v>Réactif Testomat TH (dureté) 2025 - 500 ml</v>
          </cell>
          <cell r="C462" t="str">
            <v>F1191900</v>
          </cell>
          <cell r="D462" t="str">
            <v>HEYL ANALYSIS TECHNOLOGIES</v>
          </cell>
          <cell r="E462" t="str">
            <v>MTETTCOR</v>
          </cell>
          <cell r="F462" t="str">
            <v>TTEHEYL</v>
          </cell>
          <cell r="G462">
            <v>92.2</v>
          </cell>
          <cell r="H462">
            <v>1.02</v>
          </cell>
          <cell r="I462">
            <v>94.044000000000011</v>
          </cell>
          <cell r="J462">
            <v>134.34857142857146</v>
          </cell>
          <cell r="K462">
            <v>2026</v>
          </cell>
          <cell r="L462" t="str">
            <v>TS</v>
          </cell>
          <cell r="M462">
            <v>156.74000000000004</v>
          </cell>
        </row>
        <row r="463">
          <cell r="A463" t="str">
            <v>156.235</v>
          </cell>
          <cell r="B463" t="str">
            <v>Kit Réactifs Testomat CL A-B-C (total) pour 2400 analyses</v>
          </cell>
          <cell r="C463" t="str">
            <v>F1191900</v>
          </cell>
          <cell r="D463" t="str">
            <v>HEYL ANALYSIS TECHNOLOGIES</v>
          </cell>
          <cell r="E463" t="str">
            <v>MTETTCOR</v>
          </cell>
          <cell r="F463" t="str">
            <v>TTEHEYL</v>
          </cell>
          <cell r="G463">
            <v>248</v>
          </cell>
          <cell r="H463">
            <v>1.02</v>
          </cell>
          <cell r="I463">
            <v>252.96</v>
          </cell>
          <cell r="J463">
            <v>361.37142857142862</v>
          </cell>
          <cell r="K463">
            <v>2026</v>
          </cell>
          <cell r="L463" t="str">
            <v>TS</v>
          </cell>
          <cell r="M463">
            <v>421.6</v>
          </cell>
        </row>
        <row r="464">
          <cell r="A464" t="str">
            <v>156.237</v>
          </cell>
          <cell r="B464" t="str">
            <v>Kit Réactifs Testomat CL A-B-C (total) pour 1200 analyses</v>
          </cell>
          <cell r="C464" t="str">
            <v>F1191900</v>
          </cell>
          <cell r="D464" t="str">
            <v>HEYL ANALYSIS TECHNOLOGIES</v>
          </cell>
          <cell r="E464" t="str">
            <v>MTETTCOR</v>
          </cell>
          <cell r="F464" t="str">
            <v>TTEHEYL</v>
          </cell>
          <cell r="G464">
            <v>132</v>
          </cell>
          <cell r="H464">
            <v>1.02</v>
          </cell>
          <cell r="I464">
            <v>134.64000000000001</v>
          </cell>
          <cell r="J464">
            <v>192.34285714285718</v>
          </cell>
          <cell r="K464">
            <v>2026</v>
          </cell>
          <cell r="L464" t="str">
            <v>TS</v>
          </cell>
          <cell r="M464">
            <v>224.40000000000003</v>
          </cell>
        </row>
        <row r="465">
          <cell r="A465" t="str">
            <v>156.236</v>
          </cell>
          <cell r="B465" t="str">
            <v>Kit Réactifs Testomat CL A-B (libre) pour 2400 analyses</v>
          </cell>
          <cell r="C465" t="str">
            <v>F1191900</v>
          </cell>
          <cell r="D465" t="str">
            <v>HEYL ANALYSIS TECHNOLOGIES</v>
          </cell>
          <cell r="E465" t="str">
            <v>MTETTCOR</v>
          </cell>
          <cell r="F465" t="str">
            <v>TTEHEYL</v>
          </cell>
          <cell r="G465">
            <v>208</v>
          </cell>
          <cell r="H465">
            <v>1.02</v>
          </cell>
          <cell r="I465">
            <v>212.16</v>
          </cell>
          <cell r="J465">
            <v>303.08571428571429</v>
          </cell>
          <cell r="K465">
            <v>2026</v>
          </cell>
          <cell r="L465" t="str">
            <v>TS</v>
          </cell>
          <cell r="M465">
            <v>353.6</v>
          </cell>
        </row>
        <row r="466">
          <cell r="A466" t="str">
            <v>156.238</v>
          </cell>
          <cell r="B466" t="str">
            <v>Kit Réactifs Testomat CL A-B (libre) pour 1200 analyses</v>
          </cell>
          <cell r="C466" t="str">
            <v>F1191900</v>
          </cell>
          <cell r="D466" t="str">
            <v>HEYL ANALYSIS TECHNOLOGIES</v>
          </cell>
          <cell r="E466" t="str">
            <v>MTETTCOR</v>
          </cell>
          <cell r="F466" t="str">
            <v>TTEHEYL</v>
          </cell>
          <cell r="G466">
            <v>111</v>
          </cell>
          <cell r="H466">
            <v>1.02</v>
          </cell>
          <cell r="I466">
            <v>113.22</v>
          </cell>
          <cell r="J466">
            <v>161.74285714285716</v>
          </cell>
          <cell r="K466">
            <v>2026</v>
          </cell>
          <cell r="L466" t="str">
            <v>TS</v>
          </cell>
          <cell r="M466">
            <v>188.70000000000002</v>
          </cell>
        </row>
        <row r="467">
          <cell r="A467" t="str">
            <v>KIT.A</v>
          </cell>
          <cell r="B467" t="str">
            <v>KIT.A (pour doseur) - F-BOB</v>
          </cell>
          <cell r="C467" t="str">
            <v>F1191900</v>
          </cell>
          <cell r="D467" t="str">
            <v>HEYL ANALYSIS TECHNOLOGIES</v>
          </cell>
          <cell r="E467" t="str">
            <v>MTEPIPRE</v>
          </cell>
          <cell r="F467"/>
          <cell r="G467">
            <v>33.92</v>
          </cell>
          <cell r="H467">
            <v>1.02</v>
          </cell>
          <cell r="I467">
            <v>34.598400000000005</v>
          </cell>
          <cell r="J467">
            <v>58.436697600000009</v>
          </cell>
          <cell r="K467">
            <v>2025</v>
          </cell>
          <cell r="L467"/>
          <cell r="M467">
            <v>58.436697600000009</v>
          </cell>
        </row>
        <row r="468">
          <cell r="A468" t="str">
            <v>KIT.B</v>
          </cell>
          <cell r="B468" t="str">
            <v>KIT.B (pour axe de soupape) - F-BOB</v>
          </cell>
          <cell r="C468" t="str">
            <v>F1191900</v>
          </cell>
          <cell r="D468" t="str">
            <v>HEYL ANALYSIS TECHNOLOGIES</v>
          </cell>
          <cell r="E468" t="str">
            <v>MTEPIPRE</v>
          </cell>
          <cell r="F468"/>
          <cell r="G468">
            <v>4.18</v>
          </cell>
          <cell r="H468">
            <v>1.02</v>
          </cell>
          <cell r="I468">
            <v>4.2635999999999994</v>
          </cell>
          <cell r="J468">
            <v>7.2012203999999995</v>
          </cell>
          <cell r="K468">
            <v>2025</v>
          </cell>
          <cell r="L468"/>
          <cell r="M468">
            <v>7.2012203999999995</v>
          </cell>
        </row>
        <row r="469">
          <cell r="A469" t="str">
            <v>KIT.C</v>
          </cell>
          <cell r="B469" t="str">
            <v>KIT.C (joints divers de la chambre) - F-BOB</v>
          </cell>
          <cell r="C469" t="str">
            <v>F1191900</v>
          </cell>
          <cell r="D469" t="str">
            <v>HEYL ANALYSIS TECHNOLOGIES</v>
          </cell>
          <cell r="E469" t="str">
            <v>MTEPIPRE</v>
          </cell>
          <cell r="F469"/>
          <cell r="G469">
            <v>20.71</v>
          </cell>
          <cell r="H469">
            <v>1.02</v>
          </cell>
          <cell r="I469">
            <v>21.124200000000002</v>
          </cell>
          <cell r="J469">
            <v>35.678773800000002</v>
          </cell>
          <cell r="K469">
            <v>2025</v>
          </cell>
          <cell r="L469"/>
          <cell r="M469">
            <v>35.678773800000002</v>
          </cell>
        </row>
        <row r="470">
          <cell r="A470" t="str">
            <v>16VPB002-207SAG</v>
          </cell>
          <cell r="B470" t="str">
            <v>Filtre SupaPore VP 20'' 0,2µm abs. grade bio validé pharma (Code 7S)</v>
          </cell>
          <cell r="C470" t="str">
            <v>F1200453</v>
          </cell>
          <cell r="D470" t="str">
            <v>SOFISE</v>
          </cell>
          <cell r="E470" t="str">
            <v>MTETTCOF</v>
          </cell>
          <cell r="F470" t="str">
            <v>TTECO</v>
          </cell>
          <cell r="G470">
            <v>193.79</v>
          </cell>
          <cell r="H470">
            <v>1.05</v>
          </cell>
          <cell r="I470">
            <v>203.4795</v>
          </cell>
          <cell r="J470">
            <v>290.685</v>
          </cell>
          <cell r="K470">
            <v>2023</v>
          </cell>
          <cell r="L470">
            <v>1</v>
          </cell>
          <cell r="M470">
            <v>339.13249999999999</v>
          </cell>
        </row>
        <row r="471">
          <cell r="A471" t="str">
            <v>AB2DFL7PH4</v>
          </cell>
          <cell r="B471" t="str">
            <v>Filtre Fluorodyne II 20" 0,2 µm abs. grade pharmaceutique (Code 7S)</v>
          </cell>
          <cell r="C471" t="str">
            <v>F1199801</v>
          </cell>
          <cell r="D471" t="str">
            <v>PALL France</v>
          </cell>
          <cell r="E471" t="str">
            <v>MTETTCOF</v>
          </cell>
          <cell r="F471" t="str">
            <v>TTECO</v>
          </cell>
          <cell r="G471">
            <v>262.50200000000001</v>
          </cell>
          <cell r="H471">
            <v>1</v>
          </cell>
          <cell r="I471">
            <v>262.50200000000001</v>
          </cell>
          <cell r="J471">
            <v>375.00285714285718</v>
          </cell>
          <cell r="K471">
            <v>2023</v>
          </cell>
          <cell r="L471">
            <v>1</v>
          </cell>
          <cell r="M471">
            <v>437.50333333333339</v>
          </cell>
        </row>
        <row r="472">
          <cell r="A472" t="str">
            <v>FILABS201-7S</v>
          </cell>
          <cell r="B472" t="str">
            <v>KlariSpunGA Excel 20'' 1µm Code 7S (absolu) (97009)</v>
          </cell>
          <cell r="C472" t="str">
            <v>F1188200</v>
          </cell>
          <cell r="D472" t="str">
            <v>EFILTEC</v>
          </cell>
          <cell r="E472" t="str">
            <v>MTETTCOF</v>
          </cell>
          <cell r="F472"/>
          <cell r="G472">
            <v>34.44</v>
          </cell>
          <cell r="H472">
            <v>1</v>
          </cell>
          <cell r="I472">
            <v>34.44</v>
          </cell>
          <cell r="J472">
            <v>49.2</v>
          </cell>
          <cell r="K472">
            <v>2026</v>
          </cell>
          <cell r="L472">
            <v>12</v>
          </cell>
          <cell r="M472">
            <v>57.4</v>
          </cell>
        </row>
        <row r="473">
          <cell r="A473" t="str">
            <v>FILABS201</v>
          </cell>
          <cell r="B473" t="str">
            <v>KlariSpunGA Excel 20'' 1µm DOE EPDM (absolu) (97306)</v>
          </cell>
          <cell r="C473" t="str">
            <v>F1188200</v>
          </cell>
          <cell r="D473" t="str">
            <v>EFILTEC</v>
          </cell>
          <cell r="E473" t="str">
            <v>MTETTCOF</v>
          </cell>
          <cell r="F473"/>
          <cell r="G473">
            <v>22.29</v>
          </cell>
          <cell r="H473">
            <v>1</v>
          </cell>
          <cell r="I473">
            <v>22.29</v>
          </cell>
          <cell r="J473">
            <v>31.842857142857145</v>
          </cell>
          <cell r="K473">
            <v>2026</v>
          </cell>
          <cell r="L473">
            <v>12</v>
          </cell>
          <cell r="M473">
            <v>37.15</v>
          </cell>
        </row>
        <row r="474">
          <cell r="A474" t="str">
            <v>FILABS205</v>
          </cell>
          <cell r="B474" t="str">
            <v>KlariSpunGA Excel 20'' 5µm DOE EPDM (absolu) (97313)</v>
          </cell>
          <cell r="C474" t="str">
            <v>F1188200</v>
          </cell>
          <cell r="D474" t="str">
            <v>EFILTEC</v>
          </cell>
          <cell r="E474" t="str">
            <v>MTETTCOF</v>
          </cell>
          <cell r="F474"/>
          <cell r="G474">
            <v>20.5</v>
          </cell>
          <cell r="H474">
            <v>1</v>
          </cell>
          <cell r="I474">
            <v>20.5</v>
          </cell>
          <cell r="J474">
            <v>29.285714285714288</v>
          </cell>
          <cell r="K474">
            <v>2026</v>
          </cell>
          <cell r="L474">
            <v>12</v>
          </cell>
          <cell r="M474">
            <v>34.166666666666671</v>
          </cell>
        </row>
        <row r="475">
          <cell r="A475" t="str">
            <v>FILABS20BB1</v>
          </cell>
          <cell r="B475" t="str">
            <v>Supapleat II 20'' Big Blue 1µm DOE EPDM (absolu) (79515 / 03PP001-200EABB) &gt; Amazon Filters</v>
          </cell>
          <cell r="C475" t="str">
            <v>F1188200</v>
          </cell>
          <cell r="D475" t="str">
            <v>EFILTEC</v>
          </cell>
          <cell r="E475" t="str">
            <v>MTETTCOF</v>
          </cell>
          <cell r="F475"/>
          <cell r="G475">
            <v>219.35</v>
          </cell>
          <cell r="H475">
            <v>1</v>
          </cell>
          <cell r="I475">
            <v>219.35</v>
          </cell>
          <cell r="J475">
            <v>313.35714285714289</v>
          </cell>
          <cell r="K475">
            <v>2026</v>
          </cell>
          <cell r="L475">
            <v>1</v>
          </cell>
          <cell r="M475">
            <v>365.58333333333331</v>
          </cell>
        </row>
        <row r="476">
          <cell r="A476" t="str">
            <v>FILABS20BB5</v>
          </cell>
          <cell r="B476" t="str">
            <v>Supapleat II 20'' Big Blue 5µm DOE EPDM (absolu) (79514 / 03PP005-200EABB) &gt; Amazon Filters</v>
          </cell>
          <cell r="C476" t="str">
            <v>F1188200</v>
          </cell>
          <cell r="D476" t="str">
            <v>EFILTEC</v>
          </cell>
          <cell r="E476" t="str">
            <v>MTETTCOF</v>
          </cell>
          <cell r="F476"/>
          <cell r="G476">
            <v>176.3</v>
          </cell>
          <cell r="H476">
            <v>1</v>
          </cell>
          <cell r="I476">
            <v>176.3</v>
          </cell>
          <cell r="J476">
            <v>251.85714285714289</v>
          </cell>
          <cell r="K476">
            <v>2026</v>
          </cell>
          <cell r="L476">
            <v>1</v>
          </cell>
          <cell r="M476">
            <v>293.83333333333337</v>
          </cell>
        </row>
        <row r="477">
          <cell r="A477" t="str">
            <v>FILACO2005</v>
          </cell>
          <cell r="B477" t="str">
            <v>EfilClean GA 20'' 0,45µm abs DOE EPDM (plissé fibre de verre / anticolloïdes) (97382)</v>
          </cell>
          <cell r="C477" t="str">
            <v>F1188200</v>
          </cell>
          <cell r="D477" t="str">
            <v>EFILTEC</v>
          </cell>
          <cell r="E477" t="str">
            <v>MTETTCOF</v>
          </cell>
          <cell r="F477"/>
          <cell r="G477">
            <v>97.35</v>
          </cell>
          <cell r="H477">
            <v>1</v>
          </cell>
          <cell r="I477">
            <v>97.35</v>
          </cell>
          <cell r="J477">
            <v>139.07142857142858</v>
          </cell>
          <cell r="K477">
            <v>2026</v>
          </cell>
          <cell r="L477">
            <v>1</v>
          </cell>
          <cell r="M477">
            <v>162.25</v>
          </cell>
        </row>
        <row r="478">
          <cell r="A478" t="str">
            <v>FILACO201</v>
          </cell>
          <cell r="B478" t="str">
            <v>EfilClean GA 20'' 1µm abs DOE EPDM (plissé fibre de verre / anticolloïdes) (97406 ex97407)</v>
          </cell>
          <cell r="C478" t="str">
            <v>F1188200</v>
          </cell>
          <cell r="D478" t="str">
            <v>EFILTEC</v>
          </cell>
          <cell r="E478" t="str">
            <v>MTETTCOF</v>
          </cell>
          <cell r="F478"/>
          <cell r="G478">
            <v>71.75</v>
          </cell>
          <cell r="H478">
            <v>1</v>
          </cell>
          <cell r="I478">
            <v>71.75</v>
          </cell>
          <cell r="J478">
            <v>102.5</v>
          </cell>
          <cell r="K478">
            <v>2026</v>
          </cell>
          <cell r="L478">
            <v>1</v>
          </cell>
          <cell r="M478">
            <v>119.58333333333334</v>
          </cell>
        </row>
        <row r="479">
          <cell r="A479" t="str">
            <v>FILACO205</v>
          </cell>
          <cell r="B479" t="str">
            <v>EfilClean GA 20'' 5µm abs DOE EPDM (plissé fibre de verre / anticolloïdes) (97411)</v>
          </cell>
          <cell r="C479" t="str">
            <v>F1188200</v>
          </cell>
          <cell r="D479" t="str">
            <v>EFILTEC</v>
          </cell>
          <cell r="E479" t="str">
            <v>MTETTCOF</v>
          </cell>
          <cell r="F479"/>
          <cell r="G479">
            <v>61.5</v>
          </cell>
          <cell r="H479">
            <v>1</v>
          </cell>
          <cell r="I479">
            <v>61.5</v>
          </cell>
          <cell r="J479">
            <v>87.857142857142861</v>
          </cell>
          <cell r="K479">
            <v>2026</v>
          </cell>
          <cell r="L479">
            <v>1</v>
          </cell>
          <cell r="M479">
            <v>102.5</v>
          </cell>
        </row>
        <row r="480">
          <cell r="A480" t="str">
            <v>FILBOU1002B-3S</v>
          </cell>
          <cell r="B480" t="str">
            <v>EfilPore PESGA 9'' 3/4 0,2µm abs. Code 3F grade bio (97104) 2x222+plat</v>
          </cell>
          <cell r="C480" t="str">
            <v>F1188200</v>
          </cell>
          <cell r="D480" t="str">
            <v>EFILTEC</v>
          </cell>
          <cell r="E480" t="str">
            <v>MTETTCOF</v>
          </cell>
          <cell r="F480"/>
          <cell r="G480">
            <v>123</v>
          </cell>
          <cell r="H480">
            <v>1</v>
          </cell>
          <cell r="I480">
            <v>123</v>
          </cell>
          <cell r="J480">
            <v>175.71428571428572</v>
          </cell>
          <cell r="K480">
            <v>2026</v>
          </cell>
          <cell r="L480">
            <v>1</v>
          </cell>
          <cell r="M480">
            <v>205</v>
          </cell>
        </row>
        <row r="481">
          <cell r="A481" t="str">
            <v>FILBOU1002N-3S</v>
          </cell>
          <cell r="B481" t="str">
            <v xml:space="preserve"> NY6PC Nylon66 10'' 0.22µm abs. Code 3F (charge +) (86135) 2x222+plat</v>
          </cell>
          <cell r="C481" t="str">
            <v>F1188200</v>
          </cell>
          <cell r="D481" t="str">
            <v>EFILTEC</v>
          </cell>
          <cell r="E481" t="str">
            <v>MTETTCOF</v>
          </cell>
          <cell r="F481"/>
          <cell r="G481">
            <v>123</v>
          </cell>
          <cell r="H481">
            <v>1</v>
          </cell>
          <cell r="I481">
            <v>123</v>
          </cell>
          <cell r="J481">
            <v>175.71428571428572</v>
          </cell>
          <cell r="K481">
            <v>2026</v>
          </cell>
          <cell r="L481">
            <v>1</v>
          </cell>
          <cell r="M481">
            <v>205</v>
          </cell>
        </row>
        <row r="482">
          <cell r="A482" t="str">
            <v>FILBOU1002B-7S</v>
          </cell>
          <cell r="B482" t="str">
            <v>EfilPore PESGA 9'' 3/4 0,2µm abs. Code 7S grade bio (97020) 2x226+baïonnette</v>
          </cell>
          <cell r="C482" t="str">
            <v>F1188200</v>
          </cell>
          <cell r="D482" t="str">
            <v>EFILTEC</v>
          </cell>
          <cell r="E482" t="str">
            <v>MTETTCOF</v>
          </cell>
          <cell r="F482"/>
          <cell r="G482">
            <v>123</v>
          </cell>
          <cell r="H482">
            <v>1</v>
          </cell>
          <cell r="I482">
            <v>123</v>
          </cell>
          <cell r="J482">
            <v>175.71428571428572</v>
          </cell>
          <cell r="K482">
            <v>2026</v>
          </cell>
          <cell r="L482">
            <v>1</v>
          </cell>
          <cell r="M482">
            <v>205</v>
          </cell>
        </row>
        <row r="483">
          <cell r="A483" t="str">
            <v>FILBOU2002B-3S</v>
          </cell>
          <cell r="B483" t="str">
            <v>EfilPore PESGA 20" 0,2µm abs. Code 3F grade bio (97013) 2x222+plat</v>
          </cell>
          <cell r="C483" t="str">
            <v>F1188200</v>
          </cell>
          <cell r="D483" t="str">
            <v>EFILTEC</v>
          </cell>
          <cell r="E483" t="str">
            <v>MTETTCOF</v>
          </cell>
          <cell r="F483"/>
          <cell r="G483">
            <v>194.75</v>
          </cell>
          <cell r="H483">
            <v>1</v>
          </cell>
          <cell r="I483">
            <v>194.75</v>
          </cell>
          <cell r="J483">
            <v>278.21428571428572</v>
          </cell>
          <cell r="K483">
            <v>2026</v>
          </cell>
          <cell r="L483">
            <v>1</v>
          </cell>
          <cell r="M483">
            <v>324.58333333333337</v>
          </cell>
        </row>
        <row r="484">
          <cell r="A484" t="str">
            <v>FILBOU2002B-7S</v>
          </cell>
          <cell r="B484" t="str">
            <v>EfilPore PESGA 20" 0,2µm abs. Code 7S grade bio (97005) 2x226+baïonnette</v>
          </cell>
          <cell r="C484" t="str">
            <v>F1188200</v>
          </cell>
          <cell r="D484" t="str">
            <v>EFILTEC</v>
          </cell>
          <cell r="E484" t="str">
            <v>MTETTCOF</v>
          </cell>
          <cell r="F484"/>
          <cell r="G484">
            <v>194.75</v>
          </cell>
          <cell r="H484">
            <v>1</v>
          </cell>
          <cell r="I484">
            <v>194.75</v>
          </cell>
          <cell r="J484">
            <v>278.21428571428572</v>
          </cell>
          <cell r="K484">
            <v>2026</v>
          </cell>
          <cell r="L484" t="str">
            <v>(12)//1</v>
          </cell>
          <cell r="M484">
            <v>324.58333333333337</v>
          </cell>
        </row>
        <row r="485">
          <cell r="A485" t="str">
            <v>FILBOU2002G-7S</v>
          </cell>
          <cell r="B485" t="str">
            <v>EfilPore GA Access 20" 0,2µm abs. Code 7S (97111) 2x226+baïonnette</v>
          </cell>
          <cell r="C485" t="str">
            <v>F1188200</v>
          </cell>
          <cell r="D485" t="str">
            <v>EFILTEC</v>
          </cell>
          <cell r="E485" t="str">
            <v>MTETTCOF</v>
          </cell>
          <cell r="F485"/>
          <cell r="G485">
            <v>138.99</v>
          </cell>
          <cell r="H485">
            <v>1</v>
          </cell>
          <cell r="I485">
            <v>138.99</v>
          </cell>
          <cell r="J485">
            <v>198.55714285714288</v>
          </cell>
          <cell r="K485">
            <v>2026</v>
          </cell>
          <cell r="L485" t="str">
            <v>(12)//1</v>
          </cell>
          <cell r="M485">
            <v>231.65000000000003</v>
          </cell>
        </row>
        <row r="486">
          <cell r="A486" t="str">
            <v>FILCA101</v>
          </cell>
          <cell r="B486" t="str">
            <v>Pentair ChlorPlus 9'' 3/4 1µm (charbon actif bois extrudé / réduc. chlore &amp; chloramines) (73377) [HRO41]</v>
          </cell>
          <cell r="C486" t="str">
            <v>F1188200</v>
          </cell>
          <cell r="D486" t="str">
            <v>EFILTEC</v>
          </cell>
          <cell r="E486" t="str">
            <v>MTETTCOF</v>
          </cell>
          <cell r="F486"/>
          <cell r="G486">
            <v>23.84</v>
          </cell>
          <cell r="H486">
            <v>1</v>
          </cell>
          <cell r="I486">
            <v>23.84</v>
          </cell>
          <cell r="J486">
            <v>34.057142857142857</v>
          </cell>
          <cell r="K486">
            <v>2026</v>
          </cell>
          <cell r="L486">
            <v>12</v>
          </cell>
          <cell r="M486">
            <v>39.733333333333334</v>
          </cell>
        </row>
        <row r="487">
          <cell r="A487" t="str">
            <v>FILCA105+</v>
          </cell>
          <cell r="B487" t="str">
            <v>Pentair RF-Plus 9'' 3/4 5µm (charbon actif + fibres synth. / réduc. chlore) (74419) [HRO41]</v>
          </cell>
          <cell r="C487" t="str">
            <v>F1188200</v>
          </cell>
          <cell r="D487" t="str">
            <v>EFILTEC</v>
          </cell>
          <cell r="E487" t="str">
            <v>MTETTCOF</v>
          </cell>
          <cell r="F487"/>
          <cell r="G487">
            <v>11.33</v>
          </cell>
          <cell r="H487">
            <v>1</v>
          </cell>
          <cell r="I487">
            <v>11.33</v>
          </cell>
          <cell r="J487">
            <v>16.185714285714287</v>
          </cell>
          <cell r="K487">
            <v>2026</v>
          </cell>
          <cell r="L487">
            <v>12</v>
          </cell>
          <cell r="M487">
            <v>18.883333333333333</v>
          </cell>
        </row>
        <row r="488">
          <cell r="A488" t="str">
            <v>FILCA201</v>
          </cell>
          <cell r="B488" t="str">
            <v>Pentair ChlorPlus 20'' 1µm (charbon actif bois extrudé / réduc. chlore &amp; chloramines) (73378)</v>
          </cell>
          <cell r="C488" t="str">
            <v>F1188200</v>
          </cell>
          <cell r="D488" t="str">
            <v>EFILTEC</v>
          </cell>
          <cell r="E488" t="str">
            <v>MTETTCOF</v>
          </cell>
          <cell r="F488"/>
          <cell r="G488">
            <v>40.71</v>
          </cell>
          <cell r="H488">
            <v>1</v>
          </cell>
          <cell r="I488">
            <v>40.71</v>
          </cell>
          <cell r="J488">
            <v>58.157142857142865</v>
          </cell>
          <cell r="K488">
            <v>2026</v>
          </cell>
          <cell r="L488">
            <v>6</v>
          </cell>
          <cell r="M488">
            <v>67.850000000000009</v>
          </cell>
        </row>
        <row r="489">
          <cell r="A489" t="str">
            <v>FILCA205</v>
          </cell>
          <cell r="B489" t="str">
            <v>Pentair EP 20'' 5µm (charbon actif houille extrudé / réduc. chlore) (73308)</v>
          </cell>
          <cell r="C489" t="str">
            <v>F1188200</v>
          </cell>
          <cell r="D489" t="str">
            <v>EFILTEC</v>
          </cell>
          <cell r="E489" t="str">
            <v>MTETTCOF</v>
          </cell>
          <cell r="F489"/>
          <cell r="G489">
            <v>15.38</v>
          </cell>
          <cell r="H489">
            <v>1</v>
          </cell>
          <cell r="I489">
            <v>15.38</v>
          </cell>
          <cell r="J489">
            <v>21.971428571428575</v>
          </cell>
          <cell r="K489">
            <v>2026</v>
          </cell>
          <cell r="L489">
            <v>6</v>
          </cell>
          <cell r="M489">
            <v>25.633333333333336</v>
          </cell>
        </row>
        <row r="490">
          <cell r="A490" t="str">
            <v>FILCA205+</v>
          </cell>
          <cell r="B490" t="str">
            <v>Pentair RF-Plus 20'' 5µm (charbon actif + fibres synth. / réduc. chlore) (74420)</v>
          </cell>
          <cell r="C490" t="str">
            <v>F1188200</v>
          </cell>
          <cell r="D490" t="str">
            <v>EFILTEC</v>
          </cell>
          <cell r="E490" t="str">
            <v>MTETTCOF</v>
          </cell>
          <cell r="F490"/>
          <cell r="G490">
            <v>23.01</v>
          </cell>
          <cell r="H490">
            <v>1</v>
          </cell>
          <cell r="I490">
            <v>23.01</v>
          </cell>
          <cell r="J490">
            <v>32.871428571428574</v>
          </cell>
          <cell r="K490">
            <v>2026</v>
          </cell>
          <cell r="L490">
            <v>12</v>
          </cell>
          <cell r="M490">
            <v>38.35</v>
          </cell>
        </row>
        <row r="491">
          <cell r="A491" t="str">
            <v>FILCA20BB1</v>
          </cell>
          <cell r="B491" t="str">
            <v>Pentair ChlorPlus 20'' Big Blue 1µm (charbon actif bois extrudé / réduc. chlore &amp; chloramines) (355753-43)</v>
          </cell>
          <cell r="C491" t="str">
            <v>F1188200</v>
          </cell>
          <cell r="D491" t="str">
            <v>EFILTEC</v>
          </cell>
          <cell r="E491" t="str">
            <v>MTETTCOF</v>
          </cell>
          <cell r="F491"/>
          <cell r="G491">
            <v>132.16</v>
          </cell>
          <cell r="H491">
            <v>1</v>
          </cell>
          <cell r="I491">
            <v>132.16</v>
          </cell>
          <cell r="J491">
            <v>188.8</v>
          </cell>
          <cell r="K491">
            <v>2026</v>
          </cell>
          <cell r="L491">
            <v>4</v>
          </cell>
          <cell r="M491">
            <v>220.26666666666668</v>
          </cell>
        </row>
        <row r="492">
          <cell r="A492" t="str">
            <v>FILCA20BB5+</v>
          </cell>
          <cell r="B492" t="str">
            <v>Pentair RF-Plus 20'' Big Blue 5µm (charbon actif + fibres synth. / réduc. chlore) (74422)</v>
          </cell>
          <cell r="C492" t="str">
            <v>F1188200</v>
          </cell>
          <cell r="D492" t="str">
            <v>EFILTEC</v>
          </cell>
          <cell r="E492" t="str">
            <v>MTETTCOF</v>
          </cell>
          <cell r="F492"/>
          <cell r="G492">
            <v>55.22</v>
          </cell>
          <cell r="H492">
            <v>1</v>
          </cell>
          <cell r="I492">
            <v>55.22</v>
          </cell>
          <cell r="J492">
            <v>78.885714285714286</v>
          </cell>
          <cell r="K492">
            <v>2026</v>
          </cell>
          <cell r="L492">
            <v>6</v>
          </cell>
          <cell r="M492">
            <v>92.033333333333331</v>
          </cell>
        </row>
        <row r="493">
          <cell r="A493" t="str">
            <v>FILCOR405</v>
          </cell>
          <cell r="B493" t="str">
            <v>Coreless Puromelt KlariSpun High Flow 40'' 5µm (74559)</v>
          </cell>
          <cell r="C493" t="str">
            <v>F1188200</v>
          </cell>
          <cell r="D493" t="str">
            <v>EFILTEC</v>
          </cell>
          <cell r="E493" t="str">
            <v>MTETTCOF</v>
          </cell>
          <cell r="F493"/>
          <cell r="G493">
            <v>92.25</v>
          </cell>
          <cell r="H493">
            <v>1</v>
          </cell>
          <cell r="I493">
            <v>92.25</v>
          </cell>
          <cell r="J493">
            <v>131.78571428571431</v>
          </cell>
          <cell r="K493">
            <v>2026</v>
          </cell>
          <cell r="L493">
            <v>2</v>
          </cell>
          <cell r="M493">
            <v>153.75</v>
          </cell>
        </row>
        <row r="494">
          <cell r="A494" t="str">
            <v>FILCOR4010</v>
          </cell>
          <cell r="B494" t="str">
            <v>Coreless Puromelt KlariSpun High Flow 40'' 10µm (74560)</v>
          </cell>
          <cell r="C494" t="str">
            <v>F1188200</v>
          </cell>
          <cell r="D494" t="str">
            <v>EFILTEC</v>
          </cell>
          <cell r="E494" t="str">
            <v>MTETTCOF</v>
          </cell>
          <cell r="F494"/>
          <cell r="G494">
            <v>92.25</v>
          </cell>
          <cell r="H494">
            <v>1</v>
          </cell>
          <cell r="I494">
            <v>92.25</v>
          </cell>
          <cell r="J494">
            <v>131.78571428571431</v>
          </cell>
          <cell r="K494">
            <v>2026</v>
          </cell>
          <cell r="L494">
            <v>2</v>
          </cell>
          <cell r="M494">
            <v>153.75</v>
          </cell>
        </row>
        <row r="495">
          <cell r="A495" t="str">
            <v>FILCOR4020</v>
          </cell>
          <cell r="B495" t="str">
            <v>Coreless Puromelt KlariSpun High Flow 40'' 20µm (74561)</v>
          </cell>
          <cell r="C495" t="str">
            <v>F1188200</v>
          </cell>
          <cell r="D495" t="str">
            <v>EFILTEC</v>
          </cell>
          <cell r="E495" t="str">
            <v>MTETTCOF</v>
          </cell>
          <cell r="F495"/>
          <cell r="G495">
            <v>92.25</v>
          </cell>
          <cell r="H495">
            <v>1</v>
          </cell>
          <cell r="I495">
            <v>92.25</v>
          </cell>
          <cell r="J495">
            <v>131.78571428571431</v>
          </cell>
          <cell r="K495">
            <v>2026</v>
          </cell>
          <cell r="L495">
            <v>2</v>
          </cell>
          <cell r="M495">
            <v>153.75</v>
          </cell>
        </row>
        <row r="496">
          <cell r="A496" t="str">
            <v>FILCOR4040</v>
          </cell>
          <cell r="B496" t="str">
            <v>Coreless Puromelt KlariSpun High Flow 40'' 40µm (74558)</v>
          </cell>
          <cell r="C496" t="str">
            <v>F1188200</v>
          </cell>
          <cell r="D496" t="str">
            <v>EFILTEC</v>
          </cell>
          <cell r="E496" t="str">
            <v>MTETTCOF</v>
          </cell>
          <cell r="F496"/>
          <cell r="G496">
            <v>92.25</v>
          </cell>
          <cell r="H496">
            <v>1</v>
          </cell>
          <cell r="I496">
            <v>92.25</v>
          </cell>
          <cell r="J496">
            <v>131.78571428571431</v>
          </cell>
          <cell r="K496">
            <v>2026</v>
          </cell>
          <cell r="L496">
            <v>2</v>
          </cell>
          <cell r="M496">
            <v>153.75</v>
          </cell>
        </row>
        <row r="497">
          <cell r="A497" t="str">
            <v>FILDGD20BB251</v>
          </cell>
          <cell r="B497" t="str">
            <v>Pentair DGD 20" Big Blue 25-1µm (73071)</v>
          </cell>
          <cell r="C497" t="str">
            <v>F1188200</v>
          </cell>
          <cell r="D497" t="str">
            <v>EFILTEC</v>
          </cell>
          <cell r="E497" t="str">
            <v>MTETTCOF</v>
          </cell>
          <cell r="F497"/>
          <cell r="G497">
            <v>17.84</v>
          </cell>
          <cell r="H497">
            <v>1</v>
          </cell>
          <cell r="I497">
            <v>17.84</v>
          </cell>
          <cell r="J497">
            <v>25.485714285714288</v>
          </cell>
          <cell r="K497">
            <v>2026</v>
          </cell>
          <cell r="L497">
            <v>6</v>
          </cell>
          <cell r="M497">
            <v>29.733333333333334</v>
          </cell>
        </row>
        <row r="498">
          <cell r="A498" t="str">
            <v>FILDGD20BB505</v>
          </cell>
          <cell r="B498" t="str">
            <v>Pentair DGD 20" Big Blue 50-5µm (73070)</v>
          </cell>
          <cell r="C498" t="str">
            <v>F1188200</v>
          </cell>
          <cell r="D498" t="str">
            <v>EFILTEC</v>
          </cell>
          <cell r="E498" t="str">
            <v>MTETTCOF</v>
          </cell>
          <cell r="F498"/>
          <cell r="G498">
            <v>17.84</v>
          </cell>
          <cell r="H498">
            <v>1</v>
          </cell>
          <cell r="I498">
            <v>17.84</v>
          </cell>
          <cell r="J498">
            <v>25.485714285714288</v>
          </cell>
          <cell r="K498">
            <v>2026</v>
          </cell>
          <cell r="L498">
            <v>6</v>
          </cell>
          <cell r="M498">
            <v>29.733333333333334</v>
          </cell>
        </row>
        <row r="499">
          <cell r="A499" t="str">
            <v>FILDGD20BB7525</v>
          </cell>
          <cell r="B499" t="str">
            <v>Pentair DGD 20" Big Blue 75-25µm (73075)</v>
          </cell>
          <cell r="C499" t="str">
            <v>F1188200</v>
          </cell>
          <cell r="D499" t="str">
            <v>EFILTEC</v>
          </cell>
          <cell r="E499" t="str">
            <v>MTETTCOF</v>
          </cell>
          <cell r="F499"/>
          <cell r="G499">
            <v>17.84</v>
          </cell>
          <cell r="H499">
            <v>1</v>
          </cell>
          <cell r="I499">
            <v>17.84</v>
          </cell>
          <cell r="J499">
            <v>25.485714285714288</v>
          </cell>
          <cell r="K499">
            <v>2026</v>
          </cell>
          <cell r="L499">
            <v>6</v>
          </cell>
          <cell r="M499">
            <v>29.733333333333334</v>
          </cell>
        </row>
        <row r="500">
          <cell r="A500" t="str">
            <v>FILEVC05001</v>
          </cell>
          <cell r="B500" t="str">
            <v>Filtre évent PTFE 5'' 0,01 µm à visser filetage 1/2" (15x21) long. 160mm (86009)</v>
          </cell>
          <cell r="C500" t="str">
            <v>F1188200</v>
          </cell>
          <cell r="D500" t="str">
            <v>EFILTEC</v>
          </cell>
          <cell r="E500" t="str">
            <v>MTETTCOF</v>
          </cell>
          <cell r="F500"/>
          <cell r="G500">
            <v>128.13</v>
          </cell>
          <cell r="H500">
            <v>1</v>
          </cell>
          <cell r="I500">
            <v>128.13</v>
          </cell>
          <cell r="J500">
            <v>183.04285714285714</v>
          </cell>
          <cell r="K500">
            <v>2026</v>
          </cell>
          <cell r="L500">
            <v>1</v>
          </cell>
          <cell r="M500">
            <v>213.55</v>
          </cell>
        </row>
        <row r="501">
          <cell r="A501" t="str">
            <v>FILNOM055</v>
          </cell>
          <cell r="B501" t="str">
            <v>KlariSpunGA Crystal 5'' 5µm DOE (nominal) (97232) [HRO41]</v>
          </cell>
          <cell r="C501" t="str">
            <v>F1188200</v>
          </cell>
          <cell r="D501" t="str">
            <v>EFILTEC</v>
          </cell>
          <cell r="E501" t="str">
            <v>MTETTCOF</v>
          </cell>
          <cell r="F501"/>
          <cell r="G501">
            <v>3.97</v>
          </cell>
          <cell r="H501">
            <v>1</v>
          </cell>
          <cell r="I501">
            <v>3.97</v>
          </cell>
          <cell r="J501">
            <v>5.6714285714285717</v>
          </cell>
          <cell r="K501">
            <v>2026</v>
          </cell>
          <cell r="L501" t="str">
            <v>60//24</v>
          </cell>
          <cell r="M501">
            <v>6.6166666666666671</v>
          </cell>
        </row>
        <row r="502">
          <cell r="A502" t="str">
            <v>FILNOM101</v>
          </cell>
          <cell r="B502" t="str">
            <v>KlariSpunGA Crystal 10" 1µm DOE (nominal) (97204)</v>
          </cell>
          <cell r="C502" t="str">
            <v>F1188200</v>
          </cell>
          <cell r="D502" t="str">
            <v>EFILTEC</v>
          </cell>
          <cell r="E502" t="str">
            <v>MTETTCOF</v>
          </cell>
          <cell r="F502"/>
          <cell r="G502">
            <v>4.07</v>
          </cell>
          <cell r="H502">
            <v>1</v>
          </cell>
          <cell r="I502">
            <v>4.07</v>
          </cell>
          <cell r="J502">
            <v>5.8142857142857149</v>
          </cell>
          <cell r="K502">
            <v>2025</v>
          </cell>
          <cell r="L502">
            <v>36</v>
          </cell>
          <cell r="M502">
            <v>6.7833333333333341</v>
          </cell>
        </row>
        <row r="503">
          <cell r="A503" t="str">
            <v>FILNOM1010</v>
          </cell>
          <cell r="B503" t="str">
            <v>KlariSpunGA Crystal 9'' 3/4 10µm DOE (nominal) (97222) [HRO41]</v>
          </cell>
          <cell r="C503" t="str">
            <v>F1188200</v>
          </cell>
          <cell r="D503" t="str">
            <v>EFILTEC</v>
          </cell>
          <cell r="E503" t="str">
            <v>MTETTCOF</v>
          </cell>
          <cell r="F503"/>
          <cell r="G503">
            <v>3.97</v>
          </cell>
          <cell r="H503">
            <v>1</v>
          </cell>
          <cell r="I503">
            <v>3.97</v>
          </cell>
          <cell r="J503">
            <v>5.6714285714285717</v>
          </cell>
          <cell r="K503">
            <v>2026</v>
          </cell>
          <cell r="L503" t="str">
            <v>36//24</v>
          </cell>
          <cell r="M503">
            <v>6.6166666666666671</v>
          </cell>
        </row>
        <row r="504">
          <cell r="A504" t="str">
            <v>FILNOM1020</v>
          </cell>
          <cell r="B504" t="str">
            <v>KlariSpunGA Crystal 9'' 3/4 20µm DOE (nominal) (97211) [HRO41]</v>
          </cell>
          <cell r="C504" t="str">
            <v>F1188200</v>
          </cell>
          <cell r="D504" t="str">
            <v>EFILTEC</v>
          </cell>
          <cell r="E504" t="str">
            <v>MTETTCOF</v>
          </cell>
          <cell r="F504"/>
          <cell r="G504">
            <v>3.97</v>
          </cell>
          <cell r="H504">
            <v>1</v>
          </cell>
          <cell r="I504">
            <v>3.97</v>
          </cell>
          <cell r="J504">
            <v>5.6714285714285717</v>
          </cell>
          <cell r="K504">
            <v>2026</v>
          </cell>
          <cell r="L504" t="str">
            <v>36//24</v>
          </cell>
          <cell r="M504">
            <v>6.6166666666666671</v>
          </cell>
        </row>
        <row r="505">
          <cell r="A505" t="str">
            <v>FILNOM2010</v>
          </cell>
          <cell r="B505" t="str">
            <v>KlariSpunGA Crystal 20" 10µm DOE (nominal) (97207)</v>
          </cell>
          <cell r="C505" t="str">
            <v>F1188200</v>
          </cell>
          <cell r="D505" t="str">
            <v>EFILTEC</v>
          </cell>
          <cell r="E505" t="str">
            <v>MTETTCOF</v>
          </cell>
          <cell r="F505"/>
          <cell r="G505">
            <v>3.97</v>
          </cell>
          <cell r="H505">
            <v>1</v>
          </cell>
          <cell r="I505">
            <v>3.97</v>
          </cell>
          <cell r="J505">
            <v>5.6714285714285717</v>
          </cell>
          <cell r="K505">
            <v>2026</v>
          </cell>
          <cell r="L505">
            <v>24</v>
          </cell>
          <cell r="M505">
            <v>6.6166666666666671</v>
          </cell>
        </row>
        <row r="506">
          <cell r="A506" t="str">
            <v>FILNOM2010-7S</v>
          </cell>
          <cell r="B506" t="str">
            <v>KlariSpunGA Entry 20" 10µm Code 7S (nominal) (97683)</v>
          </cell>
          <cell r="C506" t="str">
            <v>F1188200</v>
          </cell>
          <cell r="D506" t="str">
            <v>EFILTEC</v>
          </cell>
          <cell r="E506" t="str">
            <v>MTETTCOF</v>
          </cell>
          <cell r="F506"/>
          <cell r="G506">
            <v>15.27</v>
          </cell>
          <cell r="H506">
            <v>1</v>
          </cell>
          <cell r="I506">
            <v>15.27</v>
          </cell>
          <cell r="J506">
            <v>21.814285714285717</v>
          </cell>
          <cell r="K506">
            <v>2026</v>
          </cell>
          <cell r="L506">
            <v>12</v>
          </cell>
          <cell r="M506">
            <v>25.45</v>
          </cell>
        </row>
        <row r="507">
          <cell r="A507" t="str">
            <v>FILNOM2020</v>
          </cell>
          <cell r="B507" t="str">
            <v>KlariSpunGA Crystal 20" 20µm DOE (nominal) (97200)</v>
          </cell>
          <cell r="C507" t="str">
            <v>F1188200</v>
          </cell>
          <cell r="D507" t="str">
            <v>EFILTEC</v>
          </cell>
          <cell r="E507" t="str">
            <v>MTETTCOF</v>
          </cell>
          <cell r="F507"/>
          <cell r="G507">
            <v>3.97</v>
          </cell>
          <cell r="H507">
            <v>1</v>
          </cell>
          <cell r="I507">
            <v>3.97</v>
          </cell>
          <cell r="J507">
            <v>5.6714285714285717</v>
          </cell>
          <cell r="K507">
            <v>2026</v>
          </cell>
          <cell r="L507">
            <v>24</v>
          </cell>
          <cell r="M507">
            <v>6.6166666666666671</v>
          </cell>
        </row>
        <row r="508">
          <cell r="A508" t="str">
            <v>FILNOM2020-7S</v>
          </cell>
          <cell r="B508" t="str">
            <v>KlariSpunGA Entry 20" 20µm Code 7S (nominal) (97243)</v>
          </cell>
          <cell r="C508" t="str">
            <v>F1188200</v>
          </cell>
          <cell r="D508" t="str">
            <v>EFILTEC</v>
          </cell>
          <cell r="E508" t="str">
            <v>MTETTCOF</v>
          </cell>
          <cell r="F508"/>
          <cell r="G508">
            <v>15.27</v>
          </cell>
          <cell r="H508">
            <v>1</v>
          </cell>
          <cell r="I508">
            <v>15.27</v>
          </cell>
          <cell r="J508">
            <v>21.814285714285717</v>
          </cell>
          <cell r="K508">
            <v>2026</v>
          </cell>
          <cell r="L508">
            <v>12</v>
          </cell>
          <cell r="M508">
            <v>25.45</v>
          </cell>
        </row>
        <row r="509">
          <cell r="A509" t="str">
            <v>FILNOM201</v>
          </cell>
          <cell r="B509" t="str">
            <v>KlariSpunGA Crystal 20" 1µm DOE (nominal) (97205)</v>
          </cell>
          <cell r="C509" t="str">
            <v>F1188200</v>
          </cell>
          <cell r="D509" t="str">
            <v>EFILTEC</v>
          </cell>
          <cell r="E509" t="str">
            <v>MTETTCOF</v>
          </cell>
          <cell r="F509"/>
          <cell r="G509">
            <v>4.07</v>
          </cell>
          <cell r="H509">
            <v>1</v>
          </cell>
          <cell r="I509">
            <v>4.07</v>
          </cell>
          <cell r="J509">
            <v>5.8142857142857149</v>
          </cell>
          <cell r="K509">
            <v>2026</v>
          </cell>
          <cell r="L509">
            <v>24</v>
          </cell>
          <cell r="M509">
            <v>6.7833333333333341</v>
          </cell>
        </row>
        <row r="510">
          <cell r="A510" t="str">
            <v>FILNOM203</v>
          </cell>
          <cell r="B510" t="str">
            <v>KlariSpunGA Crystal 20" 3µm DOE (nominal) (97209)</v>
          </cell>
          <cell r="C510" t="str">
            <v>F1188200</v>
          </cell>
          <cell r="D510" t="str">
            <v>EFILTEC</v>
          </cell>
          <cell r="E510" t="str">
            <v>MTETTCOF</v>
          </cell>
          <cell r="F510"/>
          <cell r="G510">
            <v>3.97</v>
          </cell>
          <cell r="H510">
            <v>1</v>
          </cell>
          <cell r="I510">
            <v>3.97</v>
          </cell>
          <cell r="J510">
            <v>5.6714285714285717</v>
          </cell>
          <cell r="K510">
            <v>2026</v>
          </cell>
          <cell r="L510">
            <v>24</v>
          </cell>
          <cell r="M510">
            <v>6.6166666666666671</v>
          </cell>
        </row>
        <row r="511">
          <cell r="A511" t="str">
            <v>FILNOM203-7S</v>
          </cell>
          <cell r="B511" t="str">
            <v>KlariSpunGA Entry 20" 3µm Code 7S (nominal) (97685)</v>
          </cell>
          <cell r="C511" t="str">
            <v>F1188200</v>
          </cell>
          <cell r="D511" t="str">
            <v>EFILTEC</v>
          </cell>
          <cell r="E511" t="str">
            <v>MTETTCOF</v>
          </cell>
          <cell r="F511"/>
          <cell r="G511">
            <v>15.89</v>
          </cell>
          <cell r="H511">
            <v>1</v>
          </cell>
          <cell r="I511">
            <v>15.89</v>
          </cell>
          <cell r="J511">
            <v>22.700000000000003</v>
          </cell>
          <cell r="K511">
            <v>2026</v>
          </cell>
          <cell r="L511">
            <v>12</v>
          </cell>
          <cell r="M511">
            <v>26.483333333333334</v>
          </cell>
        </row>
        <row r="512">
          <cell r="A512" t="str">
            <v>FILNOM205</v>
          </cell>
          <cell r="B512" t="str">
            <v>KlariSpunGA Crystal 20" 5µm DOE (nominal) (97206)</v>
          </cell>
          <cell r="C512" t="str">
            <v>F1188200</v>
          </cell>
          <cell r="D512" t="str">
            <v>EFILTEC</v>
          </cell>
          <cell r="E512" t="str">
            <v>MTETTCOF</v>
          </cell>
          <cell r="F512"/>
          <cell r="G512">
            <v>3.97</v>
          </cell>
          <cell r="H512">
            <v>1</v>
          </cell>
          <cell r="I512">
            <v>3.97</v>
          </cell>
          <cell r="J512">
            <v>5.6714285714285717</v>
          </cell>
          <cell r="K512">
            <v>2026</v>
          </cell>
          <cell r="L512">
            <v>24</v>
          </cell>
          <cell r="M512">
            <v>6.6166666666666671</v>
          </cell>
        </row>
        <row r="513">
          <cell r="A513" t="str">
            <v>FILNOM205-7S</v>
          </cell>
          <cell r="B513" t="str">
            <v>KlariSpunGA Entry 20" 5µm Code 7S (nominal) (97684)</v>
          </cell>
          <cell r="C513" t="str">
            <v>F1188200</v>
          </cell>
          <cell r="D513" t="str">
            <v>EFILTEC</v>
          </cell>
          <cell r="E513" t="str">
            <v>MTETTCOF</v>
          </cell>
          <cell r="F513"/>
          <cell r="G513">
            <v>15.89</v>
          </cell>
          <cell r="H513">
            <v>1</v>
          </cell>
          <cell r="I513">
            <v>15.89</v>
          </cell>
          <cell r="J513">
            <v>22.700000000000003</v>
          </cell>
          <cell r="K513">
            <v>2026</v>
          </cell>
          <cell r="L513">
            <v>12</v>
          </cell>
          <cell r="M513">
            <v>26.483333333333334</v>
          </cell>
        </row>
        <row r="514">
          <cell r="A514" t="str">
            <v>73197</v>
          </cell>
          <cell r="B514" t="str">
            <v>Joint torique EPDM pour carters Standard &amp; 3G (ref 151120)</v>
          </cell>
          <cell r="C514" t="str">
            <v>F1188200</v>
          </cell>
          <cell r="D514" t="str">
            <v>EFILTEC</v>
          </cell>
          <cell r="E514" t="str">
            <v>MTEPIPRE</v>
          </cell>
          <cell r="F514"/>
          <cell r="G514">
            <v>2.67</v>
          </cell>
          <cell r="H514">
            <v>1</v>
          </cell>
          <cell r="I514">
            <v>2.67</v>
          </cell>
          <cell r="J514">
            <v>3.8142857142857145</v>
          </cell>
          <cell r="K514">
            <v>2026</v>
          </cell>
          <cell r="L514">
            <v>1</v>
          </cell>
          <cell r="M514">
            <v>4.45</v>
          </cell>
        </row>
        <row r="515">
          <cell r="A515" t="str">
            <v>73190</v>
          </cell>
          <cell r="B515" t="str">
            <v>Joint torique Buna-N pour carters Big Blue, cartouches &amp; poches (réf 151122)</v>
          </cell>
          <cell r="C515" t="str">
            <v>F1188200</v>
          </cell>
          <cell r="D515" t="str">
            <v>EFILTEC</v>
          </cell>
          <cell r="E515" t="str">
            <v>MTEPIPRE</v>
          </cell>
          <cell r="F515"/>
          <cell r="G515">
            <v>6.66</v>
          </cell>
          <cell r="H515">
            <v>1</v>
          </cell>
          <cell r="I515">
            <v>6.66</v>
          </cell>
          <cell r="J515">
            <v>9.5142857142857142</v>
          </cell>
          <cell r="K515">
            <v>2026</v>
          </cell>
          <cell r="L515">
            <v>1</v>
          </cell>
          <cell r="M515">
            <v>11.100000000000001</v>
          </cell>
        </row>
        <row r="516">
          <cell r="A516" t="str">
            <v>ACS0718EU</v>
          </cell>
          <cell r="B516" t="str">
            <v>Kit 2 joints silicone évent purge carter inox 0,2 (Pall PLT12G23DN1H4) par 10</v>
          </cell>
          <cell r="C516" t="str">
            <v>F1200369</v>
          </cell>
          <cell r="D516" t="str">
            <v>ECO</v>
          </cell>
          <cell r="E516" t="str">
            <v>MTEPIQRE</v>
          </cell>
          <cell r="F516" t="str">
            <v>TTEPI</v>
          </cell>
          <cell r="G516">
            <v>7.48</v>
          </cell>
          <cell r="H516">
            <v>1.04</v>
          </cell>
          <cell r="I516">
            <v>7.7792000000000003</v>
          </cell>
          <cell r="J516">
            <v>11.113142857142858</v>
          </cell>
          <cell r="K516">
            <v>2026</v>
          </cell>
          <cell r="L516">
            <v>10</v>
          </cell>
          <cell r="M516">
            <v>12.965333333333334</v>
          </cell>
        </row>
        <row r="517">
          <cell r="A517" t="str">
            <v>ACS39EX</v>
          </cell>
          <cell r="B517" t="str">
            <v>Joint torique EPR 178mm pour carter EMS 3 postes (Pall)</v>
          </cell>
          <cell r="C517" t="str">
            <v>F1199801</v>
          </cell>
          <cell r="D517" t="str">
            <v>PALL France</v>
          </cell>
          <cell r="E517" t="str">
            <v>MTEPIPRE</v>
          </cell>
          <cell r="F517" t="str">
            <v>TTEPI</v>
          </cell>
          <cell r="G517">
            <v>25</v>
          </cell>
          <cell r="H517">
            <v>1</v>
          </cell>
          <cell r="I517">
            <v>25</v>
          </cell>
          <cell r="J517">
            <v>35.714285714285715</v>
          </cell>
          <cell r="K517" t="str">
            <v>2026simu</v>
          </cell>
          <cell r="L517">
            <v>10</v>
          </cell>
          <cell r="M517">
            <v>41.666666666666671</v>
          </cell>
        </row>
        <row r="518">
          <cell r="A518" t="str">
            <v>ACS44EX</v>
          </cell>
          <cell r="B518" t="str">
            <v>Joint torique EPR 219mm pour carter EMS 5 postes (Pall) + Coreless</v>
          </cell>
          <cell r="C518" t="str">
            <v>F1199801</v>
          </cell>
          <cell r="D518" t="str">
            <v>PALL France</v>
          </cell>
          <cell r="E518" t="str">
            <v>MTEPIPRE</v>
          </cell>
          <cell r="F518" t="str">
            <v>TTEPI</v>
          </cell>
          <cell r="G518">
            <v>28</v>
          </cell>
          <cell r="H518">
            <v>1</v>
          </cell>
          <cell r="I518">
            <v>28</v>
          </cell>
          <cell r="J518">
            <v>40</v>
          </cell>
          <cell r="K518" t="str">
            <v>2026simu</v>
          </cell>
          <cell r="L518">
            <v>10</v>
          </cell>
          <cell r="M518">
            <v>46.666666666666671</v>
          </cell>
        </row>
        <row r="519">
          <cell r="A519" t="str">
            <v>GK1242QL01</v>
          </cell>
          <cell r="B519" t="str">
            <v>Joint silicone support cloche carter inox boucle type PLT12</v>
          </cell>
          <cell r="C519" t="str">
            <v>F1199801</v>
          </cell>
          <cell r="D519" t="str">
            <v>PALL France</v>
          </cell>
          <cell r="E519" t="str">
            <v>MTEPIQRE</v>
          </cell>
          <cell r="F519" t="str">
            <v>TTEPI</v>
          </cell>
          <cell r="G519">
            <v>22</v>
          </cell>
          <cell r="H519">
            <v>1</v>
          </cell>
          <cell r="I519">
            <v>22</v>
          </cell>
          <cell r="J519">
            <v>31.428571428571431</v>
          </cell>
          <cell r="K519" t="str">
            <v>2026simu</v>
          </cell>
          <cell r="L519"/>
          <cell r="M519">
            <v>36.666666666666671</v>
          </cell>
        </row>
        <row r="520">
          <cell r="A520" t="str">
            <v>GK1344PX01</v>
          </cell>
          <cell r="B520" t="str">
            <v>Joint torique EPR d'étanchéité pour carter PCY27 (Pall)</v>
          </cell>
          <cell r="C520" t="str">
            <v>F1199801</v>
          </cell>
          <cell r="D520" t="str">
            <v>PALL France</v>
          </cell>
          <cell r="E520" t="str">
            <v>MTEPIPRE</v>
          </cell>
          <cell r="F520" t="str">
            <v>TTEPI</v>
          </cell>
          <cell r="G520">
            <v>22</v>
          </cell>
          <cell r="H520">
            <v>1</v>
          </cell>
          <cell r="I520">
            <v>22</v>
          </cell>
          <cell r="J520">
            <v>31.428571428571431</v>
          </cell>
          <cell r="K520" t="str">
            <v>2026simu</v>
          </cell>
          <cell r="L520"/>
          <cell r="M520">
            <v>36.666666666666671</v>
          </cell>
        </row>
        <row r="521">
          <cell r="A521" t="str">
            <v>GK1344QL01</v>
          </cell>
          <cell r="B521" t="str">
            <v>Joint torique SILICONE d'étanchéité pour carter PCY27 (Pall)</v>
          </cell>
          <cell r="C521" t="str">
            <v>F1199801</v>
          </cell>
          <cell r="D521" t="str">
            <v>PALL France</v>
          </cell>
          <cell r="E521" t="str">
            <v>MTEPIPRE</v>
          </cell>
          <cell r="F521" t="str">
            <v>TTEPI</v>
          </cell>
          <cell r="G521">
            <v>22</v>
          </cell>
          <cell r="H521">
            <v>1</v>
          </cell>
          <cell r="I521">
            <v>22</v>
          </cell>
          <cell r="J521">
            <v>31.428571428571431</v>
          </cell>
          <cell r="K521" t="str">
            <v>2026simu</v>
          </cell>
          <cell r="L521"/>
          <cell r="M521">
            <v>36.666666666666671</v>
          </cell>
        </row>
        <row r="522">
          <cell r="A522" t="str">
            <v>YY2004055</v>
          </cell>
          <cell r="B522" t="str">
            <v>Joint plat TC 1-1/2'' silicone [carter 0,2µ Millipore/Fresenius]</v>
          </cell>
          <cell r="C522" t="str">
            <v>F1200565</v>
          </cell>
          <cell r="D522" t="str">
            <v>MERCK</v>
          </cell>
          <cell r="E522" t="str">
            <v>MTEPIQRE</v>
          </cell>
          <cell r="F522"/>
          <cell r="G522">
            <v>7.3</v>
          </cell>
          <cell r="H522">
            <v>1.1000000000000001</v>
          </cell>
          <cell r="I522">
            <v>8.0300000000000011</v>
          </cell>
          <cell r="J522">
            <v>11.471428571428573</v>
          </cell>
          <cell r="K522">
            <v>2025</v>
          </cell>
          <cell r="L522">
            <v>10</v>
          </cell>
          <cell r="M522">
            <v>13.383333333333336</v>
          </cell>
        </row>
        <row r="523">
          <cell r="A523" t="str">
            <v>MXPESP50R</v>
          </cell>
          <cell r="B523" t="str">
            <v>Ensemble de joints toriques silicone et joints de bouchon [carter 0,2µ Millipore/Fresenius]</v>
          </cell>
          <cell r="C523" t="str">
            <v>F1200565</v>
          </cell>
          <cell r="D523" t="str">
            <v>MERCK</v>
          </cell>
          <cell r="E523" t="str">
            <v>MTEPIQRE</v>
          </cell>
          <cell r="F523"/>
          <cell r="G523">
            <v>17.18</v>
          </cell>
          <cell r="H523">
            <v>1.1000000000000001</v>
          </cell>
          <cell r="I523">
            <v>18.898</v>
          </cell>
          <cell r="J523">
            <v>26.997142857142858</v>
          </cell>
          <cell r="K523">
            <v>2025</v>
          </cell>
          <cell r="L523">
            <v>5</v>
          </cell>
          <cell r="M523">
            <v>31.496666666666666</v>
          </cell>
        </row>
        <row r="524">
          <cell r="A524" t="str">
            <v>HGTC400EP</v>
          </cell>
          <cell r="B524" t="str">
            <v>Kit de joints EPDM [carter 0,2µ Millipore/Fresenius]</v>
          </cell>
          <cell r="C524" t="str">
            <v>F1200565</v>
          </cell>
          <cell r="D524" t="str">
            <v>MERCK</v>
          </cell>
          <cell r="E524" t="str">
            <v>MTEPIQRE</v>
          </cell>
          <cell r="F524"/>
          <cell r="G524">
            <v>14.9</v>
          </cell>
          <cell r="H524">
            <v>1.1000000000000001</v>
          </cell>
          <cell r="I524">
            <v>16.39</v>
          </cell>
          <cell r="J524">
            <v>23.414285714285718</v>
          </cell>
          <cell r="K524">
            <v>2025</v>
          </cell>
          <cell r="L524">
            <v>10</v>
          </cell>
          <cell r="M524">
            <v>27.31666666666667</v>
          </cell>
        </row>
        <row r="525">
          <cell r="A525" t="str">
            <v>AXAL15</v>
          </cell>
          <cell r="B525" t="str">
            <v>Sel adoucisseur en pastilles AXAL Pro EN 973 (sac 15kg / par palette de 33 sacs)</v>
          </cell>
          <cell r="C525" t="str">
            <v>F1200410</v>
          </cell>
          <cell r="D525" t="str">
            <v>BRENNTAG SA</v>
          </cell>
          <cell r="E525" t="str">
            <v>MTETTCOZ</v>
          </cell>
          <cell r="F525"/>
          <cell r="G525">
            <v>7.3949999999999996</v>
          </cell>
          <cell r="H525">
            <v>1.8</v>
          </cell>
          <cell r="I525">
            <v>13.311</v>
          </cell>
          <cell r="J525">
            <v>19.015714285714285</v>
          </cell>
          <cell r="K525">
            <v>2026</v>
          </cell>
          <cell r="L525"/>
          <cell r="M525">
            <v>19.015714285714285</v>
          </cell>
        </row>
        <row r="526">
          <cell r="A526" t="str">
            <v>DIALOXACTIVE5L</v>
          </cell>
          <cell r="B526" t="str">
            <v>Dialox Active 5L ref. 104149 (Désinfectant acide péracétique 1%)</v>
          </cell>
          <cell r="C526" t="str">
            <v>F1189300</v>
          </cell>
          <cell r="D526" t="str">
            <v>SCHULKE</v>
          </cell>
          <cell r="E526" t="str">
            <v>MTETTCOZ</v>
          </cell>
          <cell r="F526" t="str">
            <v>TTECO</v>
          </cell>
          <cell r="G526">
            <v>59.76</v>
          </cell>
          <cell r="H526">
            <v>1.3</v>
          </cell>
          <cell r="I526">
            <v>77.688000000000002</v>
          </cell>
          <cell r="J526" t="str">
            <v>N/A</v>
          </cell>
          <cell r="K526">
            <v>2026</v>
          </cell>
          <cell r="M526" t="str">
            <v>N/A</v>
          </cell>
        </row>
        <row r="527">
          <cell r="A527" t="str">
            <v>SL7-100-L-RYG-24LED</v>
          </cell>
          <cell r="B527" t="str">
            <v>Colonne lumineuse à LED feu fixe R/J/V 24 V série SL7</v>
          </cell>
          <cell r="C527" t="str">
            <v>F1076600</v>
          </cell>
          <cell r="D527" t="str">
            <v>RADIOSPARE</v>
          </cell>
          <cell r="E527" t="str">
            <v>MTEPIELE</v>
          </cell>
          <cell r="F527"/>
          <cell r="G527">
            <v>235.1</v>
          </cell>
          <cell r="H527">
            <v>1</v>
          </cell>
          <cell r="I527">
            <v>235.1</v>
          </cell>
          <cell r="J527">
            <v>335.85714285714289</v>
          </cell>
          <cell r="K527">
            <v>2025</v>
          </cell>
          <cell r="M527">
            <v>391.83333333333331</v>
          </cell>
        </row>
        <row r="528">
          <cell r="A528" t="str">
            <v>SL7-L24-B</v>
          </cell>
          <cell r="B528" t="str">
            <v>LED flash fixe Bleu pour colonne lumineuse 24 V série SL7</v>
          </cell>
          <cell r="C528" t="str">
            <v>F1076600</v>
          </cell>
          <cell r="D528" t="str">
            <v>RADIOSPARE</v>
          </cell>
          <cell r="E528" t="str">
            <v>MTEPIELE</v>
          </cell>
          <cell r="F528"/>
          <cell r="G528">
            <v>63.5</v>
          </cell>
          <cell r="H528">
            <v>1</v>
          </cell>
          <cell r="I528">
            <v>63.5</v>
          </cell>
          <cell r="J528">
            <v>90.714285714285722</v>
          </cell>
          <cell r="K528">
            <v>2024</v>
          </cell>
          <cell r="M528">
            <v>105.83333333333334</v>
          </cell>
        </row>
        <row r="529">
          <cell r="A529" t="str">
            <v>SL7-CB-FW</v>
          </cell>
          <cell r="B529" t="str">
            <v>Module de base pour montage vertical 1 côté colonne lumineuse 24 V série SL7</v>
          </cell>
          <cell r="C529" t="str">
            <v>F1076600</v>
          </cell>
          <cell r="D529" t="str">
            <v>RADIOSPARE</v>
          </cell>
          <cell r="E529" t="str">
            <v>MTEPIELE</v>
          </cell>
          <cell r="F529"/>
          <cell r="G529">
            <v>53.81</v>
          </cell>
          <cell r="H529">
            <v>1</v>
          </cell>
          <cell r="I529">
            <v>53.81</v>
          </cell>
          <cell r="J529">
            <v>76.871428571428581</v>
          </cell>
          <cell r="K529">
            <v>2025</v>
          </cell>
          <cell r="M529">
            <v>89.683333333333337</v>
          </cell>
        </row>
        <row r="530">
          <cell r="A530" t="str">
            <v>4C.02.9.024.0050SPA</v>
          </cell>
          <cell r="B530" t="str">
            <v>Relais d'interface Finder 24V c.c., 2 RT, montage Rail DIN, série , 4C Series</v>
          </cell>
          <cell r="C530" t="str">
            <v>F1076600</v>
          </cell>
          <cell r="D530" t="str">
            <v>RADIOSPARE</v>
          </cell>
          <cell r="E530" t="str">
            <v>MTEPIELE</v>
          </cell>
          <cell r="F530"/>
          <cell r="G530">
            <v>18.39</v>
          </cell>
          <cell r="H530">
            <v>1</v>
          </cell>
          <cell r="I530">
            <v>18.39</v>
          </cell>
          <cell r="J530">
            <v>26.271428571428572</v>
          </cell>
          <cell r="K530">
            <v>2025</v>
          </cell>
          <cell r="M530">
            <v>30.650000000000002</v>
          </cell>
        </row>
        <row r="531">
          <cell r="A531" t="str">
            <v>600524</v>
          </cell>
          <cell r="B531" t="str">
            <v>Système Ares SMS</v>
          </cell>
          <cell r="C531" t="str">
            <v>F1143100</v>
          </cell>
          <cell r="D531" t="str">
            <v>QL3D</v>
          </cell>
          <cell r="E531" t="str">
            <v>MTEPIDIV</v>
          </cell>
          <cell r="F531"/>
          <cell r="G531">
            <v>382.64</v>
          </cell>
          <cell r="H531">
            <v>1.03</v>
          </cell>
          <cell r="I531">
            <v>394.11919999999998</v>
          </cell>
          <cell r="J531">
            <v>563.02742857142857</v>
          </cell>
          <cell r="K531">
            <v>2021</v>
          </cell>
          <cell r="M531">
            <v>656.8653333333333</v>
          </cell>
        </row>
        <row r="532">
          <cell r="A532" t="str">
            <v>600827</v>
          </cell>
          <cell r="B532" t="str">
            <v>Système Ares 12 SMS 4G LTE</v>
          </cell>
          <cell r="C532" t="str">
            <v>F1143100</v>
          </cell>
          <cell r="D532" t="str">
            <v>QL3D</v>
          </cell>
          <cell r="E532" t="str">
            <v>MTEPIDIV</v>
          </cell>
          <cell r="F532"/>
          <cell r="G532">
            <v>470.16</v>
          </cell>
          <cell r="H532">
            <v>1.03</v>
          </cell>
          <cell r="I532">
            <v>484.26480000000004</v>
          </cell>
          <cell r="J532">
            <v>691.80685714285721</v>
          </cell>
          <cell r="K532">
            <v>2025</v>
          </cell>
          <cell r="M532">
            <v>807.10800000000006</v>
          </cell>
        </row>
        <row r="533">
          <cell r="A533" t="str">
            <v>700198</v>
          </cell>
          <cell r="B533" t="str">
            <v>Pack batterie pour système Ares SMS</v>
          </cell>
          <cell r="C533" t="str">
            <v>F1143100</v>
          </cell>
          <cell r="D533" t="str">
            <v>QL3D</v>
          </cell>
          <cell r="E533" t="str">
            <v>MTEPIDIV</v>
          </cell>
          <cell r="F533"/>
          <cell r="G533">
            <v>55</v>
          </cell>
          <cell r="H533">
            <v>1.2</v>
          </cell>
          <cell r="I533">
            <v>66</v>
          </cell>
          <cell r="J533">
            <v>101.45</v>
          </cell>
          <cell r="K533">
            <v>2025</v>
          </cell>
          <cell r="M533">
            <v>118.45</v>
          </cell>
        </row>
        <row r="534">
          <cell r="A534" t="str">
            <v>ACS0718EU</v>
          </cell>
          <cell r="B534" t="str">
            <v>Kit 2 joints silicone évent purge carter inox 0,2 (Pall PLT12G23DN1H4) par 10</v>
          </cell>
          <cell r="C534" t="str">
            <v>F1200369</v>
          </cell>
          <cell r="D534" t="str">
            <v>ECO</v>
          </cell>
          <cell r="E534" t="str">
            <v>MTEPIQRE</v>
          </cell>
          <cell r="F534" t="str">
            <v>TTEPI</v>
          </cell>
          <cell r="G534">
            <v>7.48</v>
          </cell>
          <cell r="H534">
            <v>1.04</v>
          </cell>
          <cell r="I534">
            <v>7.7792000000000003</v>
          </cell>
          <cell r="J534">
            <v>11.113142857142858</v>
          </cell>
          <cell r="K534">
            <v>2026</v>
          </cell>
          <cell r="L534">
            <v>10</v>
          </cell>
          <cell r="M534">
            <v>12.965333333333334</v>
          </cell>
        </row>
        <row r="535">
          <cell r="A535" t="str">
            <v>Franco de port pour un minimum de commande de 350 € H.T.</v>
          </cell>
          <cell r="B535"/>
          <cell r="C535"/>
          <cell r="D535"/>
          <cell r="E535"/>
          <cell r="F535"/>
        </row>
        <row r="536">
          <cell r="A536" t="str">
            <v>(Outre-Mer : tarifs FCA transitaire métropole)</v>
          </cell>
          <cell r="B536"/>
          <cell r="C536"/>
          <cell r="D536"/>
          <cell r="E536"/>
          <cell r="F536"/>
          <cell r="G536"/>
        </row>
        <row r="537">
          <cell r="A537" t="str">
            <v>Pour une commande inférieure à 350 € H.T., un forfait de 30 € H.T sera facturé.</v>
          </cell>
          <cell r="B537"/>
          <cell r="C537"/>
          <cell r="D537"/>
          <cell r="E537"/>
          <cell r="F537"/>
          <cell r="G537">
            <v>39.380000000000003</v>
          </cell>
          <cell r="H537">
            <v>1.04</v>
          </cell>
          <cell r="I537">
            <v>40.955200000000005</v>
          </cell>
          <cell r="J537">
            <v>58.507428571428584</v>
          </cell>
          <cell r="K537"/>
          <cell r="L537">
            <v>5</v>
          </cell>
          <cell r="M537">
            <v>68.258666666666684</v>
          </cell>
        </row>
        <row r="538">
          <cell r="A538" t="str">
            <v>ACS0718EU</v>
          </cell>
          <cell r="B538" t="str">
            <v>Kit 2 joints silicone évent purge carter inox 0,2 (Pall PLT12G23DN1H4) par 10</v>
          </cell>
          <cell r="C538" t="str">
            <v>F1200369</v>
          </cell>
          <cell r="D538" t="str">
            <v>ECO</v>
          </cell>
          <cell r="E538" t="str">
            <v>MTEPIQRE</v>
          </cell>
          <cell r="F538" t="str">
            <v>TTEPI</v>
          </cell>
          <cell r="G538">
            <v>7.48</v>
          </cell>
          <cell r="H538">
            <v>1.04</v>
          </cell>
          <cell r="I538">
            <v>7.7792000000000003</v>
          </cell>
          <cell r="J538">
            <v>11.113142857142858</v>
          </cell>
          <cell r="K538">
            <v>2026</v>
          </cell>
          <cell r="L538">
            <v>10</v>
          </cell>
          <cell r="M538">
            <v>12.965333333333334</v>
          </cell>
        </row>
        <row r="539">
          <cell r="A539" t="str">
            <v>KL-006-2-SL009-50</v>
          </cell>
          <cell r="B539" t="str">
            <v>Raccord mâle plastique Walther KL-006 douille cannelée d9 (embout fermant)</v>
          </cell>
          <cell r="C539" t="str">
            <v>F1200369</v>
          </cell>
          <cell r="D539" t="str">
            <v>ECO</v>
          </cell>
          <cell r="E539" t="str">
            <v>MPIXX</v>
          </cell>
          <cell r="F539" t="str">
            <v>PIDET</v>
          </cell>
          <cell r="G539">
            <v>28.67</v>
          </cell>
          <cell r="H539">
            <v>1.04</v>
          </cell>
          <cell r="I539">
            <v>29.816800000000004</v>
          </cell>
          <cell r="J539">
            <v>42.595428571428577</v>
          </cell>
          <cell r="K539">
            <v>2024</v>
          </cell>
          <cell r="L539">
            <v>5</v>
          </cell>
          <cell r="M539">
            <v>49.694666666666677</v>
          </cell>
        </row>
        <row r="540">
          <cell r="A540" t="str">
            <v>KL-006-0-SL007-50</v>
          </cell>
          <cell r="B540" t="str">
            <v>*Raccord plastique femelle Walther KL-006 douille cannelée 7 mm (côté générateur) /// HORS CATALOGUE</v>
          </cell>
          <cell r="C540" t="str">
            <v>F1200369</v>
          </cell>
          <cell r="D540" t="str">
            <v>ECO</v>
          </cell>
          <cell r="E540" t="str">
            <v>MPIXX</v>
          </cell>
          <cell r="F540" t="str">
            <v>PIDET</v>
          </cell>
          <cell r="G540"/>
          <cell r="H540">
            <v>1.04</v>
          </cell>
          <cell r="I540">
            <v>42.359200000000001</v>
          </cell>
          <cell r="J540">
            <v>60.51314285714286</v>
          </cell>
          <cell r="K540"/>
          <cell r="L540"/>
          <cell r="M540">
            <v>70.598666666666674</v>
          </cell>
        </row>
        <row r="541">
          <cell r="A541" t="str">
            <v>KL-006-0-SL009-50</v>
          </cell>
          <cell r="B541" t="str">
            <v xml:space="preserve">Raccord femelle plastique Walther KL-006 douille cannelée d9 </v>
          </cell>
          <cell r="C541" t="str">
            <v>F1200369</v>
          </cell>
          <cell r="D541" t="str">
            <v>ECO</v>
          </cell>
          <cell r="E541" t="str">
            <v>MPIXX</v>
          </cell>
          <cell r="F541" t="str">
            <v>PIDET</v>
          </cell>
          <cell r="G541">
            <v>39.380000000000003</v>
          </cell>
          <cell r="H541">
            <v>1.04</v>
          </cell>
          <cell r="I541">
            <v>40.955200000000005</v>
          </cell>
          <cell r="J541">
            <v>58.507428571428584</v>
          </cell>
          <cell r="K541"/>
          <cell r="L541">
            <v>5</v>
          </cell>
          <cell r="M541">
            <v>68.258666666666684</v>
          </cell>
        </row>
        <row r="542">
          <cell r="A542" t="str">
            <v>KL-006-1-SL009-50</v>
          </cell>
          <cell r="B542" t="str">
            <v>Raccord plastique Walther KL-006 douille cannelée d9 (embout libre)</v>
          </cell>
          <cell r="C542" t="str">
            <v>F1200369</v>
          </cell>
          <cell r="D542" t="str">
            <v>ECO</v>
          </cell>
          <cell r="E542" t="str">
            <v>MPIXX</v>
          </cell>
          <cell r="F542" t="str">
            <v>PIDET</v>
          </cell>
          <cell r="G542">
            <v>7.35</v>
          </cell>
          <cell r="H542">
            <v>1.04</v>
          </cell>
          <cell r="I542">
            <v>7.6440000000000001</v>
          </cell>
          <cell r="J542">
            <v>10.920000000000002</v>
          </cell>
          <cell r="K542"/>
          <cell r="L542">
            <v>5</v>
          </cell>
          <cell r="M542">
            <v>12.74</v>
          </cell>
        </row>
        <row r="543">
          <cell r="A543" t="str">
            <v>KL-006-2-SL009-50</v>
          </cell>
          <cell r="B543" t="str">
            <v>Raccord mâle plastique Walther KL-006 douille cannelée d9 (embout fermant)</v>
          </cell>
          <cell r="C543" t="str">
            <v>F1200369</v>
          </cell>
          <cell r="D543" t="str">
            <v>ECO</v>
          </cell>
          <cell r="E543" t="str">
            <v>MPIXX</v>
          </cell>
          <cell r="F543" t="str">
            <v>PIDET</v>
          </cell>
          <cell r="G543">
            <v>28.67</v>
          </cell>
          <cell r="H543">
            <v>1.04</v>
          </cell>
          <cell r="I543">
            <v>29.816800000000004</v>
          </cell>
          <cell r="J543">
            <v>42.595428571428577</v>
          </cell>
          <cell r="K543">
            <v>2024</v>
          </cell>
          <cell r="L543">
            <v>5</v>
          </cell>
          <cell r="M543">
            <v>49.694666666666677</v>
          </cell>
        </row>
        <row r="544">
          <cell r="A544" t="str">
            <v>KL-006-0-SL007-50</v>
          </cell>
          <cell r="B544" t="str">
            <v>*Raccord plastique femelle Walther KL-006 douille cannelée 7 mm (côté générateur) /// HORS CATALOGUE</v>
          </cell>
          <cell r="C544" t="str">
            <v>F1200369</v>
          </cell>
          <cell r="D544" t="str">
            <v>ECO</v>
          </cell>
          <cell r="E544" t="str">
            <v>MPIXX</v>
          </cell>
          <cell r="F544" t="str">
            <v>PIDET</v>
          </cell>
          <cell r="G544">
            <v>40.729999999999997</v>
          </cell>
          <cell r="H544">
            <v>1.04</v>
          </cell>
          <cell r="I544">
            <v>42.359200000000001</v>
          </cell>
          <cell r="J544">
            <v>60.51314285714286</v>
          </cell>
          <cell r="K544"/>
          <cell r="L544"/>
          <cell r="M544">
            <v>70.598666666666674</v>
          </cell>
        </row>
        <row r="545">
          <cell r="A545" t="str">
            <v>KL-006-2-WR021-50-4</v>
          </cell>
          <cell r="B545" t="str">
            <v>*Embout plastique Walther KL-006 fileté mâle 1/2 Gaz (côté boucle) /// HORS CATALOGUE</v>
          </cell>
          <cell r="C545" t="str">
            <v>F1200369</v>
          </cell>
          <cell r="D545" t="str">
            <v>ECO</v>
          </cell>
          <cell r="E545" t="str">
            <v>MPIXX</v>
          </cell>
          <cell r="F545" t="str">
            <v>PIDET</v>
          </cell>
          <cell r="G545">
            <v>28.12</v>
          </cell>
          <cell r="H545">
            <v>1.04</v>
          </cell>
          <cell r="I545">
            <v>29.244800000000001</v>
          </cell>
          <cell r="J545">
            <v>41.778285714285722</v>
          </cell>
          <cell r="K545"/>
          <cell r="L545"/>
          <cell r="M545">
            <v>48.741333333333337</v>
          </cell>
        </row>
        <row r="546">
          <cell r="A546"/>
          <cell r="B546"/>
          <cell r="C546"/>
          <cell r="D546"/>
          <cell r="E546"/>
          <cell r="F546"/>
          <cell r="G546">
            <v>121.95</v>
          </cell>
          <cell r="H546"/>
          <cell r="I546"/>
          <cell r="J546"/>
          <cell r="K546"/>
          <cell r="L546"/>
          <cell r="M546"/>
        </row>
        <row r="547">
          <cell r="A547" t="str">
            <v>SP006-0-SL006</v>
          </cell>
          <cell r="B547" t="str">
            <v>*Raccord d'alimentation inox Walther femelle douille cannelée 6mm  (côté générateur) /// HORS CATALOGUE</v>
          </cell>
          <cell r="C547" t="str">
            <v>F1200369</v>
          </cell>
          <cell r="D547" t="str">
            <v>ECO</v>
          </cell>
          <cell r="E547" t="str">
            <v>MPIXX</v>
          </cell>
          <cell r="F547" t="str">
            <v>PIDET</v>
          </cell>
          <cell r="G547">
            <v>189.27</v>
          </cell>
          <cell r="H547">
            <v>1.04</v>
          </cell>
          <cell r="I547">
            <v>196.84080000000003</v>
          </cell>
          <cell r="J547">
            <v>281.20114285714294</v>
          </cell>
          <cell r="K547">
            <v>2025</v>
          </cell>
          <cell r="L547">
            <v>5</v>
          </cell>
          <cell r="M547">
            <v>328.06800000000004</v>
          </cell>
        </row>
        <row r="548">
          <cell r="A548" t="str">
            <v>SP006-0-SL009-01-4</v>
          </cell>
          <cell r="B548" t="str">
            <v>Raccord d'alimentation inox Walther femelle douille cannelée 9mm (générateur)</v>
          </cell>
          <cell r="C548" t="str">
            <v>F1200369</v>
          </cell>
          <cell r="D548" t="str">
            <v>ECO</v>
          </cell>
          <cell r="E548" t="str">
            <v>MPIXX</v>
          </cell>
          <cell r="F548" t="str">
            <v>PIDET</v>
          </cell>
          <cell r="G548">
            <v>166.75</v>
          </cell>
          <cell r="H548">
            <v>1.04</v>
          </cell>
          <cell r="I548">
            <v>173.42000000000002</v>
          </cell>
          <cell r="J548">
            <v>247.74285714285719</v>
          </cell>
          <cell r="K548">
            <v>2026</v>
          </cell>
          <cell r="L548">
            <v>20</v>
          </cell>
          <cell r="M548">
            <v>289.03333333333336</v>
          </cell>
        </row>
        <row r="549">
          <cell r="A549" t="str">
            <v>SP006-1-SL009</v>
          </cell>
          <cell r="B549" t="str">
            <v>Embout libre inox mâle Walther douille cannelée 9 mm (évac. / non obturant)</v>
          </cell>
          <cell r="C549" t="str">
            <v>F1200369</v>
          </cell>
          <cell r="D549" t="str">
            <v>ECO</v>
          </cell>
          <cell r="E549" t="str">
            <v>MPIXX</v>
          </cell>
          <cell r="F549" t="str">
            <v>PIDET</v>
          </cell>
          <cell r="G549">
            <v>76.73</v>
          </cell>
          <cell r="H549">
            <v>1.04</v>
          </cell>
          <cell r="I549">
            <v>79.799200000000013</v>
          </cell>
          <cell r="J549">
            <v>113.99885714285718</v>
          </cell>
          <cell r="K549"/>
          <cell r="L549">
            <v>10</v>
          </cell>
          <cell r="M549">
            <v>132.99866666666671</v>
          </cell>
        </row>
        <row r="550">
          <cell r="A550" t="str">
            <v>SP006-2-SL009</v>
          </cell>
          <cell r="B550" t="str">
            <v>Embout inox mâle Walther douille cannelée 9 mm (évac. / obturant)</v>
          </cell>
          <cell r="C550" t="str">
            <v>F1185200</v>
          </cell>
          <cell r="D550" t="str">
            <v>ASEPTIC</v>
          </cell>
          <cell r="E550" t="str">
            <v>MPIXX</v>
          </cell>
          <cell r="F550" t="str">
            <v>PIDET</v>
          </cell>
          <cell r="G550">
            <v>121.95</v>
          </cell>
          <cell r="H550">
            <v>1.04</v>
          </cell>
          <cell r="I550">
            <v>126.828</v>
          </cell>
          <cell r="J550">
            <v>181.18285714285716</v>
          </cell>
          <cell r="K550"/>
          <cell r="L550">
            <v>5</v>
          </cell>
          <cell r="M550">
            <v>211.38000000000002</v>
          </cell>
        </row>
        <row r="551">
          <cell r="A551" t="str">
            <v>SP006-2-WR013</v>
          </cell>
          <cell r="B551" t="str">
            <v>Raccord rapide inox Walther mâle fileté 1/4 1,0 U 78,70 (connexion boucle)</v>
          </cell>
          <cell r="C551" t="str">
            <v>F1200369</v>
          </cell>
          <cell r="D551" t="str">
            <v>ECO</v>
          </cell>
          <cell r="E551" t="str">
            <v>MTEDVPCE</v>
          </cell>
          <cell r="F551" t="str">
            <v>TTEPI</v>
          </cell>
          <cell r="G551">
            <v>94.71</v>
          </cell>
          <cell r="H551">
            <v>1.04</v>
          </cell>
          <cell r="I551">
            <v>98.498400000000004</v>
          </cell>
          <cell r="J551">
            <v>140.71200000000002</v>
          </cell>
          <cell r="K551">
            <v>2026</v>
          </cell>
          <cell r="L551">
            <v>20</v>
          </cell>
          <cell r="M551">
            <v>164.16400000000002</v>
          </cell>
        </row>
        <row r="552">
          <cell r="A552" t="str">
            <v>SP006-2-WR013R12</v>
          </cell>
          <cell r="B552" t="str">
            <v>Raccord rapide inox Walther mâle fileté 1/4 + Réduction mâle 1/4''-1/2'' /// HORS CATALOGUE</v>
          </cell>
          <cell r="C552" t="str">
            <v>F1200369</v>
          </cell>
          <cell r="D552" t="str">
            <v>ECO</v>
          </cell>
          <cell r="E552" t="str">
            <v>MTEDVPCE</v>
          </cell>
          <cell r="F552" t="str">
            <v>TTEPI</v>
          </cell>
          <cell r="G552">
            <v>84.5</v>
          </cell>
          <cell r="H552">
            <v>1.04</v>
          </cell>
          <cell r="I552">
            <v>87.88000000000001</v>
          </cell>
          <cell r="J552">
            <v>125.54285714285716</v>
          </cell>
          <cell r="K552"/>
          <cell r="L552">
            <v>10</v>
          </cell>
          <cell r="M552">
            <v>146.4666666666667</v>
          </cell>
        </row>
        <row r="553">
          <cell r="A553" t="str">
            <v>SP006-0-Y-2SP006-01-4</v>
          </cell>
          <cell r="B553" t="str">
            <v>Raccord Y inox Walther série LP (Standard : 1 femelle + 2 mâles = 1198803)</v>
          </cell>
          <cell r="C553" t="str">
            <v>F1200369</v>
          </cell>
          <cell r="D553" t="str">
            <v>ECO</v>
          </cell>
          <cell r="E553" t="str">
            <v>MPIXX</v>
          </cell>
          <cell r="F553" t="str">
            <v>PIDET</v>
          </cell>
          <cell r="G553">
            <v>452.78</v>
          </cell>
          <cell r="H553">
            <v>1.04</v>
          </cell>
          <cell r="I553">
            <v>470.89119999999997</v>
          </cell>
          <cell r="J553">
            <v>672.70171428571427</v>
          </cell>
          <cell r="K553">
            <v>2025</v>
          </cell>
          <cell r="L553">
            <v>5</v>
          </cell>
          <cell r="M553">
            <v>784.81866666666667</v>
          </cell>
        </row>
        <row r="554">
          <cell r="A554" t="str">
            <v>SP006-2-Y-0SP006-01-4</v>
          </cell>
          <cell r="B554" t="str">
            <v>Raccord Y inox Walther série LP (inversé : 1 mâle + 2 femelles = 1198807)</v>
          </cell>
          <cell r="C554" t="str">
            <v>F1185200</v>
          </cell>
          <cell r="D554" t="str">
            <v>ASEPTIC</v>
          </cell>
          <cell r="E554" t="str">
            <v>MPIXX</v>
          </cell>
          <cell r="F554" t="str">
            <v>PIDET</v>
          </cell>
          <cell r="G554">
            <v>455</v>
          </cell>
          <cell r="H554">
            <v>1.04</v>
          </cell>
          <cell r="I554">
            <v>473.2</v>
          </cell>
          <cell r="J554">
            <v>676</v>
          </cell>
          <cell r="K554"/>
          <cell r="L554">
            <v>5</v>
          </cell>
          <cell r="M554">
            <v>788.66666666666663</v>
          </cell>
        </row>
        <row r="555">
          <cell r="A555" t="str">
            <v>SP006-KIT</v>
          </cell>
          <cell r="B555" t="str">
            <v>Kit maintenance raccord Walther SP006 (joint de corps EPDM, clapet et ressort)</v>
          </cell>
          <cell r="C555" t="str">
            <v>F1200369</v>
          </cell>
          <cell r="D555" t="str">
            <v>ECO</v>
          </cell>
          <cell r="E555" t="str">
            <v>MPIXX</v>
          </cell>
          <cell r="F555" t="str">
            <v>PIDET</v>
          </cell>
          <cell r="G555">
            <v>46</v>
          </cell>
          <cell r="H555">
            <v>1.1000000000000001</v>
          </cell>
          <cell r="I555">
            <v>50.6</v>
          </cell>
          <cell r="J555">
            <v>72.285714285714292</v>
          </cell>
          <cell r="K555">
            <v>2026</v>
          </cell>
          <cell r="L555">
            <v>5</v>
          </cell>
          <cell r="M555">
            <v>84.333333333333343</v>
          </cell>
        </row>
        <row r="556">
          <cell r="A556"/>
          <cell r="B556"/>
          <cell r="C556"/>
          <cell r="D556"/>
          <cell r="E556"/>
          <cell r="F556"/>
          <cell r="G556"/>
          <cell r="H556">
            <v>1.04</v>
          </cell>
          <cell r="I556"/>
          <cell r="J556"/>
          <cell r="K556"/>
          <cell r="L556">
            <v>5</v>
          </cell>
          <cell r="M556">
            <v>408.06133333333332</v>
          </cell>
        </row>
        <row r="557">
          <cell r="A557" t="str">
            <v>RBE06.1808</v>
          </cell>
          <cell r="B557" t="str">
            <v>Raccord d'alimentation inox Staubli femelle douille cannelée d8 IC/HD/JE/OD (générateur)</v>
          </cell>
          <cell r="C557" t="str">
            <v>F1185200</v>
          </cell>
          <cell r="D557" t="str">
            <v>ASEPTIC/ECO</v>
          </cell>
          <cell r="E557" t="str">
            <v>MPIXX</v>
          </cell>
          <cell r="F557" t="str">
            <v>PIDET</v>
          </cell>
          <cell r="G557">
            <v>150</v>
          </cell>
          <cell r="H557">
            <v>1.04</v>
          </cell>
          <cell r="I557">
            <v>156</v>
          </cell>
          <cell r="J557">
            <v>222.85714285714286</v>
          </cell>
          <cell r="K557"/>
          <cell r="L557">
            <v>5</v>
          </cell>
          <cell r="M557">
            <v>260</v>
          </cell>
        </row>
        <row r="558">
          <cell r="A558" t="str">
            <v>RBE06.7808</v>
          </cell>
          <cell r="B558" t="str">
            <v>Raccord d'alimentation inox Staubli mâle douille cannelée d8 IC/HD/JE</v>
          </cell>
          <cell r="C558" t="str">
            <v>F1185200</v>
          </cell>
          <cell r="D558" t="str">
            <v>ASEPTIC</v>
          </cell>
          <cell r="E558" t="str">
            <v>MPIXX</v>
          </cell>
          <cell r="F558" t="str">
            <v>PIDET</v>
          </cell>
          <cell r="G558">
            <v>130.5</v>
          </cell>
          <cell r="H558">
            <v>1.04</v>
          </cell>
          <cell r="I558">
            <v>135.72</v>
          </cell>
          <cell r="J558">
            <v>193.8857142857143</v>
          </cell>
          <cell r="K558"/>
          <cell r="L558">
            <v>5</v>
          </cell>
          <cell r="M558">
            <v>226.20000000000002</v>
          </cell>
        </row>
        <row r="559">
          <cell r="A559" t="str">
            <v>RBE06-7151</v>
          </cell>
          <cell r="B559" t="str">
            <v>Raccord rapide inox Staubli mâle fileté 1/4G</v>
          </cell>
          <cell r="C559" t="str">
            <v>F1185200</v>
          </cell>
          <cell r="D559" t="str">
            <v>ASEPTIC</v>
          </cell>
          <cell r="E559" t="str">
            <v>MTEDVPCE</v>
          </cell>
          <cell r="F559" t="str">
            <v>TTEPI</v>
          </cell>
          <cell r="G559">
            <v>129.1</v>
          </cell>
          <cell r="H559">
            <v>1.04</v>
          </cell>
          <cell r="I559">
            <v>134.26400000000001</v>
          </cell>
          <cell r="J559">
            <v>191.80571428571432</v>
          </cell>
          <cell r="K559"/>
          <cell r="L559">
            <v>5</v>
          </cell>
          <cell r="M559">
            <v>223.77333333333337</v>
          </cell>
        </row>
        <row r="560">
          <cell r="A560" t="str">
            <v>RBE06.Y</v>
          </cell>
          <cell r="B560" t="str">
            <v>Raccord Y inox Staubli IC/HD/JE/OD (Std 1 femelle + 2 mâles)</v>
          </cell>
          <cell r="C560" t="str">
            <v>F1185200</v>
          </cell>
          <cell r="D560" t="str">
            <v>ASEPTIC</v>
          </cell>
          <cell r="E560" t="str">
            <v>MPIXX</v>
          </cell>
          <cell r="F560" t="str">
            <v>PIDET</v>
          </cell>
          <cell r="G560">
            <v>506.85</v>
          </cell>
          <cell r="H560">
            <v>1.04</v>
          </cell>
          <cell r="I560">
            <v>527.12400000000002</v>
          </cell>
          <cell r="J560">
            <v>753.03428571428583</v>
          </cell>
          <cell r="K560"/>
          <cell r="L560">
            <v>5</v>
          </cell>
          <cell r="M560">
            <v>878.54000000000008</v>
          </cell>
        </row>
        <row r="561">
          <cell r="A561" t="str">
            <v>RBE08.1808</v>
          </cell>
          <cell r="B561" t="str">
            <v>Raccord d'alimentation inox Staubli femelle IC/HD/JE/OD /// HORS CATALOGUE</v>
          </cell>
          <cell r="C561" t="str">
            <v>F1195800</v>
          </cell>
          <cell r="D561" t="str">
            <v>STAUBLI</v>
          </cell>
          <cell r="E561" t="str">
            <v>MPIXX</v>
          </cell>
          <cell r="F561" t="str">
            <v>PIDET</v>
          </cell>
          <cell r="G561">
            <v>235.42</v>
          </cell>
          <cell r="H561">
            <v>1.04</v>
          </cell>
          <cell r="I561">
            <v>244.83679999999998</v>
          </cell>
          <cell r="J561">
            <v>349.76685714285713</v>
          </cell>
          <cell r="K561"/>
          <cell r="L561">
            <v>5</v>
          </cell>
          <cell r="M561">
            <v>408.06133333333332</v>
          </cell>
        </row>
        <row r="562">
          <cell r="A562"/>
          <cell r="B562"/>
          <cell r="C562"/>
          <cell r="D562"/>
          <cell r="E562"/>
          <cell r="F562"/>
          <cell r="G562"/>
          <cell r="I562"/>
          <cell r="J562"/>
          <cell r="K562"/>
        </row>
        <row r="563">
          <cell r="A563" t="str">
            <v>ENSCOU&amp;EMBSERTOPVDF</v>
          </cell>
          <cell r="B563" t="str">
            <v>Ensemble coupleur &amp; embout Serto PVDF bleu/rouge (Distribution concentré en ligne)</v>
          </cell>
          <cell r="C563" t="str">
            <v>F1185200</v>
          </cell>
          <cell r="D563" t="str">
            <v>ASEPTIC</v>
          </cell>
          <cell r="E563" t="str">
            <v>MPIXX</v>
          </cell>
          <cell r="F563" t="str">
            <v>PIDET</v>
          </cell>
          <cell r="G563">
            <v>82</v>
          </cell>
          <cell r="H563">
            <v>1.04</v>
          </cell>
          <cell r="I563">
            <v>85.28</v>
          </cell>
          <cell r="J563">
            <v>121.82857142857144</v>
          </cell>
          <cell r="K563"/>
          <cell r="L563">
            <v>5</v>
          </cell>
          <cell r="M563">
            <v>142.13333333333335</v>
          </cell>
        </row>
        <row r="564">
          <cell r="A564" t="str">
            <v>RPVDFCCEMB3/8F</v>
          </cell>
          <cell r="B564" t="str">
            <v>Embout Serto PDVF  (bleu ou rouge sur demande) (Distribution concentré en ligne)</v>
          </cell>
          <cell r="C564" t="str">
            <v>F1185200</v>
          </cell>
          <cell r="D564" t="str">
            <v>ASEPTIC</v>
          </cell>
          <cell r="E564" t="str">
            <v>MPIXX</v>
          </cell>
          <cell r="F564" t="str">
            <v>PIDET</v>
          </cell>
          <cell r="G564"/>
          <cell r="H564">
            <v>1.04</v>
          </cell>
          <cell r="I564">
            <v>0</v>
          </cell>
          <cell r="J564">
            <v>0</v>
          </cell>
          <cell r="K564"/>
          <cell r="L564">
            <v>5</v>
          </cell>
          <cell r="M564">
            <v>0</v>
          </cell>
        </row>
        <row r="565">
          <cell r="A565" t="str">
            <v>RFCOUP.SO.O.D8.BL</v>
          </cell>
          <cell r="B565" t="str">
            <v>Coupleur Serto PDVF obturant sur douille cannelée 8 mm - repère bleu (Distribution concentré en ligne)</v>
          </cell>
          <cell r="C565" t="str">
            <v>F1185200</v>
          </cell>
          <cell r="D565" t="str">
            <v>ASEPTIC</v>
          </cell>
          <cell r="E565" t="str">
            <v>MPIXX</v>
          </cell>
          <cell r="F565" t="str">
            <v>PIDET</v>
          </cell>
          <cell r="G565">
            <v>58.9</v>
          </cell>
          <cell r="H565">
            <v>1.04</v>
          </cell>
          <cell r="I565">
            <v>61.256</v>
          </cell>
          <cell r="J565">
            <v>87.508571428571429</v>
          </cell>
          <cell r="K565"/>
          <cell r="L565">
            <v>5</v>
          </cell>
          <cell r="M565">
            <v>102.09333333333333</v>
          </cell>
        </row>
        <row r="566">
          <cell r="A566" t="str">
            <v>RFCOUP.SO.O.D8.R</v>
          </cell>
          <cell r="B566" t="str">
            <v>Coupleur Serto PDVF obturant sur douille cannelée 8 mm - repère rouge (Distribution concentré en ligne)</v>
          </cell>
          <cell r="C566" t="str">
            <v>F1185200</v>
          </cell>
          <cell r="D566" t="str">
            <v>ASEPTIC</v>
          </cell>
          <cell r="E566" t="str">
            <v>MPIXX</v>
          </cell>
          <cell r="F566" t="str">
            <v>PIDET</v>
          </cell>
          <cell r="G566">
            <v>58.9</v>
          </cell>
          <cell r="H566">
            <v>1.04</v>
          </cell>
          <cell r="I566">
            <v>61.256</v>
          </cell>
          <cell r="J566">
            <v>87.508571428571429</v>
          </cell>
          <cell r="K566"/>
          <cell r="L566">
            <v>5</v>
          </cell>
          <cell r="M566">
            <v>102.09333333333333</v>
          </cell>
        </row>
        <row r="567">
          <cell r="A567" t="str">
            <v>SERFELX20-32</v>
          </cell>
          <cell r="B567" t="str">
            <v>Collier à vis inox A2 20-32 lg12 (par 10) pour tube Filclair adou d25x34</v>
          </cell>
          <cell r="C567" t="str">
            <v>F1185200</v>
          </cell>
          <cell r="D567" t="str">
            <v>ASEPTIC</v>
          </cell>
          <cell r="E567" t="str">
            <v>MPIXX</v>
          </cell>
          <cell r="F567" t="str">
            <v>PIDET</v>
          </cell>
          <cell r="G567">
            <v>2.1</v>
          </cell>
          <cell r="H567">
            <v>1.04</v>
          </cell>
          <cell r="I567"/>
          <cell r="J567"/>
          <cell r="K567"/>
          <cell r="L567">
            <v>5</v>
          </cell>
          <cell r="M567">
            <v>3.6400000000000006</v>
          </cell>
        </row>
        <row r="568">
          <cell r="A568" t="str">
            <v>HFCD 176-35</v>
          </cell>
          <cell r="B568" t="str">
            <v>CPC Corps de couplage mâle droit PSU en ligne cannelé 9,5mm (3/8'') à vanne</v>
          </cell>
          <cell r="C568" t="str">
            <v>F1076600</v>
          </cell>
          <cell r="D568" t="str">
            <v>RADIOSPARE</v>
          </cell>
          <cell r="E568" t="str">
            <v>MPIXX</v>
          </cell>
          <cell r="F568" t="str">
            <v>PIDET</v>
          </cell>
          <cell r="G568">
            <v>23.94</v>
          </cell>
          <cell r="H568">
            <v>1</v>
          </cell>
          <cell r="I568">
            <v>23.94</v>
          </cell>
          <cell r="J568">
            <v>34.200000000000003</v>
          </cell>
          <cell r="K568"/>
          <cell r="L568">
            <v>5</v>
          </cell>
          <cell r="M568">
            <v>39.900000000000006</v>
          </cell>
        </row>
        <row r="569">
          <cell r="A569" t="str">
            <v>HFCD 226-35</v>
          </cell>
          <cell r="B569" t="str">
            <v>CPC Embout mâle droit PSU cannelé 9,5mm (3/8'') à vanne</v>
          </cell>
          <cell r="C569" t="str">
            <v>F1076600</v>
          </cell>
          <cell r="D569" t="str">
            <v>RADIOSPARE</v>
          </cell>
          <cell r="E569" t="str">
            <v>MPIXX</v>
          </cell>
          <cell r="F569" t="str">
            <v>PIDET</v>
          </cell>
          <cell r="G569">
            <v>18.28</v>
          </cell>
          <cell r="H569">
            <v>1</v>
          </cell>
          <cell r="I569">
            <v>18.28</v>
          </cell>
          <cell r="J569">
            <v>26.114285714285717</v>
          </cell>
          <cell r="K569"/>
          <cell r="L569">
            <v>5</v>
          </cell>
          <cell r="M569">
            <v>30.466666666666669</v>
          </cell>
        </row>
        <row r="571">
          <cell r="A571" t="str">
            <v>SERFELX11-16</v>
          </cell>
          <cell r="B571" t="str">
            <v>Collier à vis inox A2 11-16 lg9.9 (par 10)</v>
          </cell>
          <cell r="C571" t="str">
            <v>F1076600</v>
          </cell>
          <cell r="D571" t="str">
            <v>RADIOSPARE</v>
          </cell>
          <cell r="E571" t="str">
            <v>MPIXX</v>
          </cell>
          <cell r="F571" t="str">
            <v>PIDET</v>
          </cell>
          <cell r="G571">
            <v>2.7629999999999999</v>
          </cell>
          <cell r="H571">
            <v>1</v>
          </cell>
          <cell r="I571">
            <v>2.7629999999999999</v>
          </cell>
          <cell r="J571">
            <v>3.9471428571428571</v>
          </cell>
          <cell r="K571"/>
          <cell r="L571">
            <v>5</v>
          </cell>
          <cell r="M571">
            <v>4.6050000000000004</v>
          </cell>
        </row>
        <row r="572">
          <cell r="A572" t="str">
            <v>SERFELX20-32</v>
          </cell>
          <cell r="B572" t="str">
            <v>Collier à vis inox A2 20-32 lg12 (par 10) pour tube Filclair adou d25x34</v>
          </cell>
          <cell r="C572" t="str">
            <v>F1185200</v>
          </cell>
          <cell r="D572" t="str">
            <v>ASEPTIC</v>
          </cell>
          <cell r="E572" t="str">
            <v>MPIXX</v>
          </cell>
          <cell r="F572" t="str">
            <v>PIDET</v>
          </cell>
          <cell r="G572">
            <v>2.1</v>
          </cell>
          <cell r="H572">
            <v>1.04</v>
          </cell>
          <cell r="I572">
            <v>2.1840000000000002</v>
          </cell>
          <cell r="J572">
            <v>3.1200000000000006</v>
          </cell>
          <cell r="K572"/>
          <cell r="L572">
            <v>5</v>
          </cell>
          <cell r="M572">
            <v>3.6400000000000006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scDBdjPIEqFImx5yBmFNvLqb027gLhEt26qndT3jm3N9n4wYg_aTri2vtpApNk7" itemId="01YNCGON4DA6EGX6UAI5B3Q3UTOW5EOA4X">
      <xxl21:absoluteUrl r:id="rId2"/>
      <xxl21:relativeUrl r:id="rId3"/>
    </xxl21:alternateUrls>
    <sheetNames>
      <sheetName val="BDD"/>
      <sheetName val="Listes"/>
      <sheetName val="Tarif Pces"/>
      <sheetName val="Cecon2023 "/>
      <sheetName val="Cecon2024 "/>
      <sheetName val="Price List 2026"/>
      <sheetName val="Spare Part Prices 2026"/>
      <sheetName val="Spare Part Prices 2025"/>
    </sheetNames>
    <sheetDataSet>
      <sheetData sheetId="0">
        <row r="5">
          <cell r="A5" t="str">
            <v>03CE00111</v>
          </cell>
          <cell r="B5" t="str">
            <v>Armoire distribution CeCon 3000 1 concentré / 1 étage</v>
          </cell>
          <cell r="C5" t="str">
            <v>F1200373</v>
          </cell>
          <cell r="D5" t="str">
            <v>DWA</v>
          </cell>
          <cell r="E5" t="str">
            <v>MTEDVCEC</v>
          </cell>
          <cell r="F5"/>
          <cell r="G5">
            <v>10341.39</v>
          </cell>
          <cell r="H5">
            <v>1.05</v>
          </cell>
          <cell r="I5">
            <v>10858.459499999999</v>
          </cell>
          <cell r="J5">
            <v>15512.084999999999</v>
          </cell>
          <cell r="K5">
            <v>18097.432499999999</v>
          </cell>
          <cell r="L5">
            <v>2026</v>
          </cell>
        </row>
        <row r="6">
          <cell r="A6" t="str">
            <v>03CE00112</v>
          </cell>
          <cell r="B6" t="str">
            <v>Armoire distribution CeCon 3000 2 concentrés / 1 étage</v>
          </cell>
          <cell r="C6" t="str">
            <v>F1200373</v>
          </cell>
          <cell r="D6" t="str">
            <v>DWA</v>
          </cell>
          <cell r="E6" t="str">
            <v>MTEDVCEC</v>
          </cell>
          <cell r="F6"/>
          <cell r="G6">
            <v>11281.53</v>
          </cell>
          <cell r="H6">
            <v>1.05</v>
          </cell>
          <cell r="I6">
            <v>11845.606500000002</v>
          </cell>
          <cell r="J6">
            <v>16922.295000000002</v>
          </cell>
          <cell r="K6">
            <v>19742.677500000005</v>
          </cell>
          <cell r="L6">
            <v>2026</v>
          </cell>
        </row>
        <row r="7">
          <cell r="A7" t="str">
            <v>03CE00122</v>
          </cell>
          <cell r="B7" t="str">
            <v>Armoire distribution CeCon 3000 2 concentrés / 2 étages</v>
          </cell>
          <cell r="C7" t="str">
            <v>F1200373</v>
          </cell>
          <cell r="D7" t="str">
            <v>DWA</v>
          </cell>
          <cell r="E7" t="str">
            <v>MTEDVCEC</v>
          </cell>
          <cell r="F7"/>
          <cell r="G7">
            <v>14101.9</v>
          </cell>
          <cell r="H7">
            <v>1.05</v>
          </cell>
          <cell r="I7">
            <v>14806.995000000001</v>
          </cell>
          <cell r="J7">
            <v>21152.850000000002</v>
          </cell>
          <cell r="K7">
            <v>24678.325000000001</v>
          </cell>
          <cell r="L7">
            <v>2026</v>
          </cell>
        </row>
        <row r="8">
          <cell r="A8" t="str">
            <v>09FBNR001</v>
          </cell>
          <cell r="B8" t="str">
            <v>Boîtier de contrôle en salle DWA montage en saillie (CeCon 3000)</v>
          </cell>
          <cell r="C8" t="str">
            <v>F1200373</v>
          </cell>
          <cell r="D8" t="str">
            <v>DWA</v>
          </cell>
          <cell r="E8" t="str">
            <v>MTEDVCEC</v>
          </cell>
          <cell r="F8"/>
          <cell r="G8">
            <v>711.03</v>
          </cell>
          <cell r="H8">
            <v>1.05</v>
          </cell>
          <cell r="I8">
            <v>746.58150000000001</v>
          </cell>
          <cell r="J8">
            <v>1066.5450000000001</v>
          </cell>
          <cell r="K8">
            <v>1244.3025</v>
          </cell>
          <cell r="L8">
            <v>2026</v>
          </cell>
        </row>
        <row r="9">
          <cell r="A9" t="str">
            <v>09FBNR002</v>
          </cell>
          <cell r="B9" t="str">
            <v>Boîtier de contrôle en salle DWA montage encastré (CeCon 3000)</v>
          </cell>
          <cell r="C9" t="str">
            <v>F1200373</v>
          </cell>
          <cell r="D9" t="str">
            <v>DWA</v>
          </cell>
          <cell r="E9" t="str">
            <v>MTEDVCEC</v>
          </cell>
          <cell r="F9"/>
          <cell r="G9">
            <v>711.03</v>
          </cell>
          <cell r="H9">
            <v>1.05</v>
          </cell>
          <cell r="I9">
            <v>746.58150000000001</v>
          </cell>
          <cell r="J9">
            <v>1066.5450000000001</v>
          </cell>
          <cell r="K9">
            <v>1244.3025</v>
          </cell>
          <cell r="L9">
            <v>2026</v>
          </cell>
        </row>
        <row r="10">
          <cell r="A10" t="str">
            <v>ESO8B02030</v>
          </cell>
          <cell r="B10" t="str">
            <v>Unité de commutation pour conteneurs (CeCon 3000)</v>
          </cell>
          <cell r="C10" t="str">
            <v>F1200373</v>
          </cell>
          <cell r="D10" t="str">
            <v>DWA</v>
          </cell>
          <cell r="E10" t="str">
            <v>MTEDVCEP</v>
          </cell>
          <cell r="F10"/>
          <cell r="G10">
            <v>870.82099999999991</v>
          </cell>
          <cell r="H10">
            <v>1.05</v>
          </cell>
          <cell r="I10">
            <v>914.36204999999995</v>
          </cell>
          <cell r="J10">
            <v>1306.2315000000001</v>
          </cell>
          <cell r="K10">
            <v>1523.9367500000001</v>
          </cell>
          <cell r="L10">
            <v>2026</v>
          </cell>
        </row>
        <row r="11">
          <cell r="A11" t="str">
            <v>ESO8B02040</v>
          </cell>
          <cell r="B11" t="str">
            <v>Pompe d'alimentation en concentré (CeCon 3000)</v>
          </cell>
          <cell r="C11" t="str">
            <v>F1200373</v>
          </cell>
          <cell r="D11" t="str">
            <v>DWA</v>
          </cell>
          <cell r="E11" t="str">
            <v>MTEDVCEP</v>
          </cell>
          <cell r="F11"/>
          <cell r="G11">
            <v>1510.0778000000003</v>
          </cell>
          <cell r="H11">
            <v>1.05</v>
          </cell>
          <cell r="I11">
            <v>1585.5816900000004</v>
          </cell>
          <cell r="J11">
            <v>2265.1167000000009</v>
          </cell>
          <cell r="K11">
            <v>2642.6361500000007</v>
          </cell>
          <cell r="L11">
            <v>2026</v>
          </cell>
        </row>
        <row r="12">
          <cell r="A12" t="str">
            <v>ESO8B020902</v>
          </cell>
          <cell r="B12" t="str">
            <v>Kit d'étiquetage. Voir TM 299e (CeCon 3000)</v>
          </cell>
          <cell r="C12" t="str">
            <v>F1200373</v>
          </cell>
          <cell r="D12" t="str">
            <v>DWA</v>
          </cell>
          <cell r="E12" t="str">
            <v>MTEDVCEP</v>
          </cell>
          <cell r="F12"/>
          <cell r="G12">
            <v>12.1128</v>
          </cell>
          <cell r="H12">
            <v>1.05</v>
          </cell>
          <cell r="I12">
            <v>12.718440000000001</v>
          </cell>
          <cell r="J12">
            <v>18.169200000000004</v>
          </cell>
          <cell r="K12">
            <v>21.197400000000002</v>
          </cell>
          <cell r="L12">
            <v>2026</v>
          </cell>
        </row>
        <row r="13">
          <cell r="A13" t="str">
            <v>ESO8B63015</v>
          </cell>
          <cell r="B13" t="str">
            <v>Préfiltre à concentré 75 μm, filtre de rechange (CeCon 3000)</v>
          </cell>
          <cell r="C13" t="str">
            <v>F1200373</v>
          </cell>
          <cell r="D13" t="str">
            <v>DWA</v>
          </cell>
          <cell r="E13" t="str">
            <v>MTEDVCEP</v>
          </cell>
          <cell r="F13"/>
          <cell r="G13">
            <v>57.155000000000001</v>
          </cell>
          <cell r="H13">
            <v>1.05</v>
          </cell>
          <cell r="I13">
            <v>60.012750000000004</v>
          </cell>
          <cell r="J13">
            <v>85.732500000000016</v>
          </cell>
          <cell r="K13">
            <v>100.02125000000001</v>
          </cell>
          <cell r="L13">
            <v>2026</v>
          </cell>
        </row>
        <row r="14">
          <cell r="A14" t="str">
            <v>ESO8C09072</v>
          </cell>
          <cell r="B14" t="str">
            <v>Ventilateur (CeCon 3000)</v>
          </cell>
          <cell r="C14" t="str">
            <v>F1200373</v>
          </cell>
          <cell r="D14" t="str">
            <v>DWA</v>
          </cell>
          <cell r="E14" t="str">
            <v>MTEDVCEP</v>
          </cell>
          <cell r="F14"/>
          <cell r="G14">
            <v>107.76787</v>
          </cell>
          <cell r="H14">
            <v>1.05</v>
          </cell>
          <cell r="I14">
            <v>113.15626350000001</v>
          </cell>
          <cell r="J14">
            <v>161.65180500000002</v>
          </cell>
          <cell r="K14">
            <v>188.59377250000003</v>
          </cell>
          <cell r="L14">
            <v>2026</v>
          </cell>
        </row>
        <row r="15">
          <cell r="A15" t="str">
            <v>EZG02VE205</v>
          </cell>
          <cell r="B15" t="str">
            <v>Électrovanne 24 V DC (CeCon 3000)</v>
          </cell>
          <cell r="C15" t="str">
            <v>F1200373</v>
          </cell>
          <cell r="D15" t="str">
            <v>DWA</v>
          </cell>
          <cell r="E15" t="str">
            <v>MTEDVCEP</v>
          </cell>
          <cell r="F15"/>
          <cell r="G15">
            <v>184.16299999999998</v>
          </cell>
          <cell r="H15">
            <v>1.05</v>
          </cell>
          <cell r="I15">
            <v>193.37115</v>
          </cell>
          <cell r="J15">
            <v>276.24450000000002</v>
          </cell>
          <cell r="K15">
            <v>322.28525000000002</v>
          </cell>
          <cell r="L15">
            <v>2026</v>
          </cell>
        </row>
        <row r="16">
          <cell r="A16" t="str">
            <v>EZG07VM010</v>
          </cell>
          <cell r="B16" t="str">
            <v>Tête de pompe alimentation concentré avec raccords CeCon3000 / CCMS (CeCon 3000)</v>
          </cell>
          <cell r="C16" t="str">
            <v>F1200373</v>
          </cell>
          <cell r="D16" t="str">
            <v>DWA</v>
          </cell>
          <cell r="E16" t="str">
            <v>MTEDVCEP</v>
          </cell>
          <cell r="F16"/>
          <cell r="G16">
            <v>802.39949999999999</v>
          </cell>
          <cell r="H16">
            <v>1.05</v>
          </cell>
          <cell r="I16">
            <v>842.51947500000006</v>
          </cell>
          <cell r="J16">
            <v>1203.5992500000002</v>
          </cell>
          <cell r="K16">
            <v>1404.1991250000001</v>
          </cell>
          <cell r="L16">
            <v>2026</v>
          </cell>
        </row>
        <row r="17">
          <cell r="A17" t="str">
            <v>EZX0CE3001</v>
          </cell>
          <cell r="B17" t="str">
            <v>Panneau de contrôle + ventilation avec logiciel (CeCon 3000)</v>
          </cell>
          <cell r="C17" t="str">
            <v>F1200373</v>
          </cell>
          <cell r="D17" t="str">
            <v>DWA</v>
          </cell>
          <cell r="E17" t="str">
            <v>MTEDVCEP</v>
          </cell>
          <cell r="F17"/>
          <cell r="G17">
            <v>1790.663</v>
          </cell>
          <cell r="H17">
            <v>1.05</v>
          </cell>
          <cell r="I17">
            <v>1880.19615</v>
          </cell>
          <cell r="J17">
            <v>2685.9945000000002</v>
          </cell>
          <cell r="K17">
            <v>3133.6602499999999</v>
          </cell>
          <cell r="L17">
            <v>2026</v>
          </cell>
        </row>
        <row r="18">
          <cell r="A18" t="str">
            <v>SO8B02017</v>
          </cell>
          <cell r="B18" t="str">
            <v>Dérivation de masse pour pompe CECON (CeCon 3000)</v>
          </cell>
          <cell r="C18" t="str">
            <v>F1200373</v>
          </cell>
          <cell r="D18" t="str">
            <v>DWA</v>
          </cell>
          <cell r="E18" t="str">
            <v>MTEDVCEP</v>
          </cell>
          <cell r="F18"/>
          <cell r="G18">
            <v>13.0032</v>
          </cell>
          <cell r="H18">
            <v>1.05</v>
          </cell>
          <cell r="I18">
            <v>13.653360000000001</v>
          </cell>
          <cell r="J18">
            <v>19.504800000000003</v>
          </cell>
          <cell r="K18">
            <v>22.755600000000001</v>
          </cell>
          <cell r="L18">
            <v>2026</v>
          </cell>
        </row>
        <row r="19">
          <cell r="A19" t="str">
            <v>SO8B63001</v>
          </cell>
          <cell r="B19" t="str">
            <v>Bloc de distribution pour le concentré (type 2 : SW version 091023 seulement) (CeCon 3000)</v>
          </cell>
          <cell r="C19" t="str">
            <v>F1200373</v>
          </cell>
          <cell r="D19" t="str">
            <v>DWA</v>
          </cell>
          <cell r="E19" t="str">
            <v>MTEDVCEP</v>
          </cell>
          <cell r="F19"/>
          <cell r="G19">
            <v>211.351</v>
          </cell>
          <cell r="H19">
            <v>1.05</v>
          </cell>
          <cell r="I19">
            <v>221.91855000000001</v>
          </cell>
          <cell r="J19">
            <v>317.02650000000006</v>
          </cell>
          <cell r="K19">
            <v>369.86425000000003</v>
          </cell>
          <cell r="L19">
            <v>2026</v>
          </cell>
        </row>
        <row r="20">
          <cell r="A20" t="str">
            <v>SO8B63015</v>
          </cell>
          <cell r="B20" t="str">
            <v>Préfiltre à concentré 75 μm, Kit d'adaptation (contient ESO8B63015 + raccords de tuyaux) (CeCon 3000)</v>
          </cell>
          <cell r="C20" t="str">
            <v>F1200373</v>
          </cell>
          <cell r="D20" t="str">
            <v>DWA</v>
          </cell>
          <cell r="E20" t="str">
            <v>MTEDVCEP</v>
          </cell>
          <cell r="F20"/>
          <cell r="G20">
            <v>86.463999999999999</v>
          </cell>
          <cell r="H20">
            <v>1.05</v>
          </cell>
          <cell r="I20">
            <v>90.787199999999999</v>
          </cell>
          <cell r="J20">
            <v>129.696</v>
          </cell>
          <cell r="K20">
            <v>151.31200000000001</v>
          </cell>
          <cell r="L20">
            <v>2026</v>
          </cell>
        </row>
        <row r="21">
          <cell r="A21" t="str">
            <v>SO8C02033</v>
          </cell>
          <cell r="B21" t="str">
            <v>Réservoir de rupture mini 2500/3000 (CeCon 3000)</v>
          </cell>
          <cell r="C21" t="str">
            <v>F1200373</v>
          </cell>
          <cell r="D21" t="str">
            <v>DWA</v>
          </cell>
          <cell r="E21" t="str">
            <v>MTEDVCEP</v>
          </cell>
          <cell r="F21"/>
          <cell r="G21">
            <v>180.72670000000002</v>
          </cell>
          <cell r="H21">
            <v>1.05</v>
          </cell>
          <cell r="I21">
            <v>189.76303500000003</v>
          </cell>
          <cell r="J21">
            <v>271.09005000000008</v>
          </cell>
          <cell r="K21">
            <v>316.27172500000006</v>
          </cell>
          <cell r="L21">
            <v>2026</v>
          </cell>
        </row>
        <row r="22">
          <cell r="A22" t="str">
            <v>SO8C02068</v>
          </cell>
          <cell r="B22" t="str">
            <v>Pompe d'aération (CeCon 3000)</v>
          </cell>
          <cell r="C22" t="str">
            <v>F1200373</v>
          </cell>
          <cell r="D22" t="str">
            <v>DWA</v>
          </cell>
          <cell r="E22" t="str">
            <v>MTEDVCEP</v>
          </cell>
          <cell r="F22"/>
          <cell r="G22">
            <v>159.08143999999999</v>
          </cell>
          <cell r="H22">
            <v>1.05</v>
          </cell>
          <cell r="I22">
            <v>167.03551199999998</v>
          </cell>
          <cell r="J22">
            <v>238.62215999999998</v>
          </cell>
          <cell r="K22">
            <v>278.39251999999999</v>
          </cell>
          <cell r="L22">
            <v>2026</v>
          </cell>
        </row>
        <row r="23">
          <cell r="A23" t="str">
            <v>SO8C02333</v>
          </cell>
          <cell r="B23" t="str">
            <v>Vis d'étanchéité 1/4" avec joint torique (CeCon 3000)</v>
          </cell>
          <cell r="C23" t="str">
            <v>F1200373</v>
          </cell>
          <cell r="D23" t="str">
            <v>DWA</v>
          </cell>
          <cell r="E23" t="str">
            <v>MTEDVCEP</v>
          </cell>
          <cell r="F23"/>
          <cell r="G23">
            <v>9.4429999999999996</v>
          </cell>
          <cell r="H23">
            <v>1.05</v>
          </cell>
          <cell r="I23">
            <v>9.9151500000000006</v>
          </cell>
          <cell r="J23">
            <v>14.164500000000002</v>
          </cell>
          <cell r="K23">
            <v>16.525250000000003</v>
          </cell>
          <cell r="L23">
            <v>2026</v>
          </cell>
        </row>
        <row r="24">
          <cell r="A24" t="str">
            <v>SO8C09028</v>
          </cell>
          <cell r="B24" t="str">
            <v>Entretoise PVC électrovanne Cecon (CeCon 3000)</v>
          </cell>
          <cell r="C24" t="str">
            <v>F1200373</v>
          </cell>
          <cell r="D24" t="str">
            <v>DWA</v>
          </cell>
          <cell r="E24" t="str">
            <v>MTEDVCEP</v>
          </cell>
          <cell r="F24"/>
          <cell r="G24">
            <v>2.6821200000000003</v>
          </cell>
          <cell r="H24">
            <v>1.05</v>
          </cell>
          <cell r="I24">
            <v>2.8162260000000003</v>
          </cell>
          <cell r="J24">
            <v>4.0231800000000009</v>
          </cell>
          <cell r="K24">
            <v>4.6937100000000012</v>
          </cell>
          <cell r="L24">
            <v>2026</v>
          </cell>
        </row>
        <row r="25">
          <cell r="A25" t="str">
            <v>SO8C09042</v>
          </cell>
          <cell r="B25" t="str">
            <v>Câble de capteur blindé + connecteur de liant (CeCon 3000)</v>
          </cell>
          <cell r="C25" t="str">
            <v>F1200373</v>
          </cell>
          <cell r="D25" t="str">
            <v>DWA</v>
          </cell>
          <cell r="E25" t="str">
            <v>MTEDVCEP</v>
          </cell>
          <cell r="F25"/>
          <cell r="G25">
            <v>91.398999999999987</v>
          </cell>
          <cell r="H25">
            <v>1.05</v>
          </cell>
          <cell r="I25">
            <v>95.968949999999992</v>
          </cell>
          <cell r="J25">
            <v>137.0985</v>
          </cell>
          <cell r="K25">
            <v>159.94825</v>
          </cell>
          <cell r="L25">
            <v>2026</v>
          </cell>
        </row>
        <row r="26">
          <cell r="A26" t="str">
            <v>SO8E09055</v>
          </cell>
          <cell r="B26" t="str">
            <v>Couvercle supérieur avec afficheur (ZX0DISCEC) (CeCon 3000)</v>
          </cell>
          <cell r="C26" t="str">
            <v>F1200373</v>
          </cell>
          <cell r="D26" t="str">
            <v>DWA</v>
          </cell>
          <cell r="E26" t="str">
            <v>MTEDVCEP</v>
          </cell>
          <cell r="F26"/>
          <cell r="G26">
            <v>576.51300000000003</v>
          </cell>
          <cell r="H26">
            <v>1.05</v>
          </cell>
          <cell r="I26">
            <v>605.33865000000003</v>
          </cell>
          <cell r="J26">
            <v>864.76950000000011</v>
          </cell>
          <cell r="K26">
            <v>1008.8977500000001</v>
          </cell>
          <cell r="L26">
            <v>2026</v>
          </cell>
        </row>
        <row r="27">
          <cell r="A27" t="str">
            <v>ZG02V03R8</v>
          </cell>
          <cell r="B27" t="str">
            <v>Clapet anti-retour, JG 8 mm (CeCon 3000)</v>
          </cell>
          <cell r="C27" t="str">
            <v>F1200373</v>
          </cell>
          <cell r="D27" t="str">
            <v>DWA</v>
          </cell>
          <cell r="E27" t="str">
            <v>MTEDVCEP</v>
          </cell>
          <cell r="F27"/>
          <cell r="G27">
            <v>15.042999999999997</v>
          </cell>
          <cell r="H27">
            <v>1.05</v>
          </cell>
          <cell r="I27">
            <v>15.795149999999998</v>
          </cell>
          <cell r="J27">
            <v>22.564499999999999</v>
          </cell>
          <cell r="K27">
            <v>26.325249999999997</v>
          </cell>
          <cell r="L27">
            <v>2026</v>
          </cell>
        </row>
        <row r="28">
          <cell r="A28" t="str">
            <v>ZG05NO001</v>
          </cell>
          <cell r="B28" t="str">
            <v>Tuyau novoprene 4,1 x 1,6 pour pompe de mise à l'air (au mètre / 0,5 m par pompe de ventilation) (CeCon 3000)</v>
          </cell>
          <cell r="C28" t="str">
            <v>F1200373</v>
          </cell>
          <cell r="D28" t="str">
            <v>DWA</v>
          </cell>
          <cell r="E28" t="str">
            <v>MTEDVCEP</v>
          </cell>
          <cell r="F28"/>
          <cell r="G28">
            <v>29.150029999999997</v>
          </cell>
          <cell r="H28">
            <v>1.05</v>
          </cell>
          <cell r="I28">
            <v>30.6075315</v>
          </cell>
          <cell r="J28">
            <v>43.725045000000001</v>
          </cell>
          <cell r="K28">
            <v>51.012552500000005</v>
          </cell>
          <cell r="L28">
            <v>2026</v>
          </cell>
        </row>
        <row r="29">
          <cell r="A29" t="str">
            <v>ZG05PE008</v>
          </cell>
          <cell r="B29" t="str">
            <v>Tuyau 8x6 mm (ADxID) LD-PE, noir (vendu au mètre) (CeCon 3000)</v>
          </cell>
          <cell r="C29" t="str">
            <v>F1200373</v>
          </cell>
          <cell r="D29" t="str">
            <v>DWA</v>
          </cell>
          <cell r="E29" t="str">
            <v>MTEDVCEP</v>
          </cell>
          <cell r="F29"/>
          <cell r="G29">
            <v>1.0526599999999999</v>
          </cell>
          <cell r="H29">
            <v>1.05</v>
          </cell>
          <cell r="I29">
            <v>1.1052930000000001</v>
          </cell>
          <cell r="J29">
            <v>1.5789900000000001</v>
          </cell>
          <cell r="K29">
            <v>1.8421550000000002</v>
          </cell>
          <cell r="L29">
            <v>2026</v>
          </cell>
        </row>
        <row r="30">
          <cell r="A30" t="str">
            <v>ZG05SI021</v>
          </cell>
          <cell r="B30" t="str">
            <v>Tuyau silicone OD 14.4x3.2 blanc (le m., par couronne de 25 m) (CeCon 3000)</v>
          </cell>
          <cell r="C30" t="str">
            <v>F1200373</v>
          </cell>
          <cell r="D30" t="str">
            <v>DWA</v>
          </cell>
          <cell r="E30" t="str">
            <v>MTEDVCEP</v>
          </cell>
          <cell r="F30"/>
          <cell r="G30">
            <v>16.373000000000001</v>
          </cell>
          <cell r="H30">
            <v>1.05</v>
          </cell>
          <cell r="I30">
            <v>17.191650000000003</v>
          </cell>
          <cell r="J30">
            <v>24.559500000000007</v>
          </cell>
          <cell r="K30">
            <v>28.652750000000005</v>
          </cell>
          <cell r="L30">
            <v>2026</v>
          </cell>
        </row>
        <row r="31">
          <cell r="A31" t="str">
            <v>ZG05V9410</v>
          </cell>
          <cell r="B31" t="str">
            <v>Clip 10.0, inox (CeCon 3000)</v>
          </cell>
          <cell r="C31" t="str">
            <v>F1200373</v>
          </cell>
          <cell r="D31" t="str">
            <v>DWA</v>
          </cell>
          <cell r="E31" t="str">
            <v>MTEDVCEP</v>
          </cell>
          <cell r="F31"/>
          <cell r="G31">
            <v>1.4</v>
          </cell>
          <cell r="H31">
            <v>1.05</v>
          </cell>
          <cell r="I31">
            <v>1.47</v>
          </cell>
          <cell r="J31">
            <v>2.1</v>
          </cell>
          <cell r="K31">
            <v>2.4500000000000002</v>
          </cell>
          <cell r="L31">
            <v>2026</v>
          </cell>
        </row>
        <row r="32">
          <cell r="A32" t="str">
            <v>ZG05V9416</v>
          </cell>
          <cell r="B32" t="str">
            <v>Clip 16.5, inox (CeCon 3000)</v>
          </cell>
          <cell r="C32" t="str">
            <v>F1200373</v>
          </cell>
          <cell r="D32" t="str">
            <v>DWA</v>
          </cell>
          <cell r="E32" t="str">
            <v>MTEDVCEP</v>
          </cell>
          <cell r="F32"/>
          <cell r="G32">
            <v>1.7849999999999997</v>
          </cell>
          <cell r="H32">
            <v>1.05</v>
          </cell>
          <cell r="I32">
            <v>1.8742499999999997</v>
          </cell>
          <cell r="J32">
            <v>2.6774999999999998</v>
          </cell>
          <cell r="K32">
            <v>3.1237499999999998</v>
          </cell>
          <cell r="L32">
            <v>2026</v>
          </cell>
        </row>
        <row r="33">
          <cell r="A33" t="str">
            <v>ZG05V9422</v>
          </cell>
          <cell r="B33" t="str">
            <v>Clip 18.0, inox (CeCon 3000)</v>
          </cell>
          <cell r="C33" t="str">
            <v>F1200373</v>
          </cell>
          <cell r="D33" t="str">
            <v>DWA</v>
          </cell>
          <cell r="E33" t="str">
            <v>MTEDVCEP</v>
          </cell>
          <cell r="F33"/>
          <cell r="G33">
            <v>2.016</v>
          </cell>
          <cell r="H33">
            <v>1.05</v>
          </cell>
          <cell r="I33">
            <v>2.1168</v>
          </cell>
          <cell r="J33">
            <v>3.024</v>
          </cell>
          <cell r="K33">
            <v>3.528</v>
          </cell>
          <cell r="L33">
            <v>2026</v>
          </cell>
        </row>
        <row r="34">
          <cell r="A34" t="str">
            <v>ZG05V9432</v>
          </cell>
          <cell r="B34" t="str">
            <v>Clip 19,2, inox (CeCon 3000)</v>
          </cell>
          <cell r="C34" t="str">
            <v>F1200373</v>
          </cell>
          <cell r="D34" t="str">
            <v>DWA</v>
          </cell>
          <cell r="E34" t="str">
            <v>MTEDVCEP</v>
          </cell>
          <cell r="F34"/>
          <cell r="G34">
            <v>1.631</v>
          </cell>
          <cell r="H34">
            <v>1.05</v>
          </cell>
          <cell r="I34">
            <v>1.71255</v>
          </cell>
          <cell r="J34">
            <v>2.4465000000000003</v>
          </cell>
          <cell r="K34">
            <v>2.85425</v>
          </cell>
          <cell r="L34">
            <v>2026</v>
          </cell>
        </row>
        <row r="35">
          <cell r="A35" t="str">
            <v>ZG07P0010</v>
          </cell>
          <cell r="B35" t="str">
            <v>Tête de pompe pour pompe d'aération SP10/50 (CeCon 3000)</v>
          </cell>
          <cell r="C35" t="str">
            <v>F1200373</v>
          </cell>
          <cell r="D35" t="str">
            <v>DWA</v>
          </cell>
          <cell r="E35" t="str">
            <v>MTEDVCEP</v>
          </cell>
          <cell r="F35"/>
          <cell r="G35">
            <v>70.963200000000001</v>
          </cell>
          <cell r="H35">
            <v>1.05</v>
          </cell>
          <cell r="I35">
            <v>74.51136000000001</v>
          </cell>
          <cell r="J35">
            <v>106.44480000000001</v>
          </cell>
          <cell r="K35">
            <v>124.18560000000002</v>
          </cell>
          <cell r="L35">
            <v>2026</v>
          </cell>
        </row>
        <row r="36">
          <cell r="A36" t="str">
            <v>ZG10P0014</v>
          </cell>
          <cell r="B36" t="str">
            <v>Raccord CPC 3/8" PP (Version 2) (CeCon 3000)</v>
          </cell>
          <cell r="C36" t="str">
            <v>F1200373</v>
          </cell>
          <cell r="D36" t="str">
            <v>DWA</v>
          </cell>
          <cell r="E36" t="str">
            <v>MTEDVCEP</v>
          </cell>
          <cell r="F36"/>
          <cell r="G36">
            <v>28.923999999999999</v>
          </cell>
          <cell r="H36">
            <v>1.05</v>
          </cell>
          <cell r="I36">
            <v>30.370200000000001</v>
          </cell>
          <cell r="J36">
            <v>43.386000000000003</v>
          </cell>
          <cell r="K36">
            <v>50.617000000000004</v>
          </cell>
          <cell r="L36">
            <v>2026</v>
          </cell>
        </row>
        <row r="37">
          <cell r="A37" t="str">
            <v>ZG10P0071</v>
          </cell>
          <cell r="B37" t="str">
            <v>Tétine CPC 90°, PP SL9.5 mm (CeCon 3000)</v>
          </cell>
          <cell r="C37" t="str">
            <v>F1200373</v>
          </cell>
          <cell r="D37" t="str">
            <v>DWA</v>
          </cell>
          <cell r="E37" t="str">
            <v>MTEDVCEP</v>
          </cell>
          <cell r="F37"/>
          <cell r="G37">
            <v>23.200099999999999</v>
          </cell>
          <cell r="H37">
            <v>1.05</v>
          </cell>
          <cell r="I37">
            <v>24.360105000000001</v>
          </cell>
          <cell r="J37">
            <v>34.800150000000002</v>
          </cell>
          <cell r="K37">
            <v>40.600175</v>
          </cell>
          <cell r="L37">
            <v>2026</v>
          </cell>
        </row>
        <row r="38">
          <cell r="A38" t="str">
            <v>ZG10P0072</v>
          </cell>
          <cell r="B38" t="str">
            <v>Tétine CPC, PP SL9.5 mm (CeCon 3000)</v>
          </cell>
          <cell r="C38" t="str">
            <v>F1200373</v>
          </cell>
          <cell r="D38" t="str">
            <v>DWA</v>
          </cell>
          <cell r="E38" t="str">
            <v>MTEDVCEP</v>
          </cell>
          <cell r="F38"/>
          <cell r="G38">
            <v>19.527200000000001</v>
          </cell>
          <cell r="H38">
            <v>1.05</v>
          </cell>
          <cell r="I38">
            <v>20.50356</v>
          </cell>
          <cell r="J38">
            <v>29.290800000000001</v>
          </cell>
          <cell r="K38">
            <v>34.172600000000003</v>
          </cell>
          <cell r="L38">
            <v>2026</v>
          </cell>
        </row>
        <row r="39">
          <cell r="A39" t="str">
            <v>ZG11KO009</v>
          </cell>
          <cell r="B39" t="str">
            <v>Capteur de pression DMK 15 bar - 5V / 3L (CeCon 3000)</v>
          </cell>
          <cell r="C39" t="str">
            <v>F1200373</v>
          </cell>
          <cell r="D39" t="str">
            <v>DWA</v>
          </cell>
          <cell r="E39" t="str">
            <v>MTEDVCEP</v>
          </cell>
          <cell r="F39"/>
          <cell r="G39">
            <v>592.56399999999996</v>
          </cell>
          <cell r="H39">
            <v>1.05</v>
          </cell>
          <cell r="I39">
            <v>622.19219999999996</v>
          </cell>
          <cell r="J39">
            <v>888.846</v>
          </cell>
          <cell r="K39">
            <v>1036.9870000000001</v>
          </cell>
          <cell r="L39">
            <v>2026</v>
          </cell>
        </row>
        <row r="40">
          <cell r="A40" t="str">
            <v>ZG14OR003</v>
          </cell>
          <cell r="B40" t="str">
            <v>Joint torique 6,00 x 2,00 - NRB noir (CeCon 3000)</v>
          </cell>
          <cell r="C40" t="str">
            <v>F1200373</v>
          </cell>
          <cell r="D40" t="str">
            <v>DWA</v>
          </cell>
          <cell r="E40" t="str">
            <v>MTEDVCEP</v>
          </cell>
          <cell r="F40"/>
          <cell r="G40">
            <v>0.46899999999999997</v>
          </cell>
          <cell r="H40">
            <v>1.05</v>
          </cell>
          <cell r="I40">
            <v>0.49245</v>
          </cell>
          <cell r="J40">
            <v>0.70350000000000001</v>
          </cell>
          <cell r="K40">
            <v>0.82074999999999998</v>
          </cell>
          <cell r="L40">
            <v>2026</v>
          </cell>
        </row>
        <row r="41">
          <cell r="A41" t="str">
            <v>ZG14OR078</v>
          </cell>
          <cell r="B41" t="str">
            <v>Joint torique EPDM pour mamelon CPC (CeCon 3000)</v>
          </cell>
          <cell r="C41" t="str">
            <v>F1200373</v>
          </cell>
          <cell r="D41" t="str">
            <v>DWA</v>
          </cell>
          <cell r="E41" t="str">
            <v>MTEDVCEP</v>
          </cell>
          <cell r="F41"/>
          <cell r="G41">
            <v>2.6319999999999997</v>
          </cell>
          <cell r="H41">
            <v>1.05</v>
          </cell>
          <cell r="I41">
            <v>2.7635999999999998</v>
          </cell>
          <cell r="J41">
            <v>3.948</v>
          </cell>
          <cell r="K41">
            <v>4.6059999999999999</v>
          </cell>
          <cell r="L41">
            <v>2026</v>
          </cell>
        </row>
        <row r="42">
          <cell r="A42" t="str">
            <v>ZG17PP951</v>
          </cell>
          <cell r="B42" t="str">
            <v>Raccord de tuyau 90°, PP 3/8" - 7,9 mm (CeCon 3000)</v>
          </cell>
          <cell r="C42" t="str">
            <v>F1200373</v>
          </cell>
          <cell r="D42" t="str">
            <v>DWA</v>
          </cell>
          <cell r="E42" t="str">
            <v>MTEDVCEP</v>
          </cell>
          <cell r="F42"/>
          <cell r="G42">
            <v>8.141</v>
          </cell>
          <cell r="H42">
            <v>1.05</v>
          </cell>
          <cell r="I42">
            <v>8.5480499999999999</v>
          </cell>
          <cell r="J42">
            <v>12.211500000000001</v>
          </cell>
          <cell r="K42">
            <v>14.24675</v>
          </cell>
          <cell r="L42">
            <v>2026</v>
          </cell>
        </row>
        <row r="43">
          <cell r="A43" t="str">
            <v>ZG17PP952</v>
          </cell>
          <cell r="B43" t="str">
            <v>Raccord de tuyau 90°, PP 1/4" - 4,7 mm (CeCon 3000)</v>
          </cell>
          <cell r="C43" t="str">
            <v>F1200373</v>
          </cell>
          <cell r="D43" t="str">
            <v>DWA</v>
          </cell>
          <cell r="E43" t="str">
            <v>MTEDVCEP</v>
          </cell>
          <cell r="F43"/>
          <cell r="G43">
            <v>7.9869999999999992</v>
          </cell>
          <cell r="H43">
            <v>1.05</v>
          </cell>
          <cell r="I43">
            <v>8.3863500000000002</v>
          </cell>
          <cell r="J43">
            <v>11.980500000000001</v>
          </cell>
          <cell r="K43">
            <v>13.977250000000002</v>
          </cell>
          <cell r="L43">
            <v>2026</v>
          </cell>
        </row>
        <row r="44">
          <cell r="A44" t="str">
            <v>ZG17PP954</v>
          </cell>
          <cell r="B44" t="str">
            <v>Connecteur en T, PP 7,9 mm (CeCon 3000)</v>
          </cell>
          <cell r="C44" t="str">
            <v>F1200373</v>
          </cell>
          <cell r="D44" t="str">
            <v>DWA</v>
          </cell>
          <cell r="E44" t="str">
            <v>MTEDVCEP</v>
          </cell>
          <cell r="F44"/>
          <cell r="G44">
            <v>2.3144100000000001</v>
          </cell>
          <cell r="H44">
            <v>1.05</v>
          </cell>
          <cell r="I44">
            <v>2.4301305000000002</v>
          </cell>
          <cell r="J44">
            <v>3.4716150000000003</v>
          </cell>
          <cell r="K44">
            <v>4.0502175000000005</v>
          </cell>
          <cell r="L44">
            <v>2026</v>
          </cell>
        </row>
        <row r="45">
          <cell r="A45" t="str">
            <v>ZG17PV000</v>
          </cell>
          <cell r="B45" t="str">
            <v>Bague de serrage 8 mm, PVDF pour ZG17PV006 (CeCon 3000)</v>
          </cell>
          <cell r="C45" t="str">
            <v>F1200373</v>
          </cell>
          <cell r="D45" t="str">
            <v>DWA</v>
          </cell>
          <cell r="E45" t="str">
            <v>MTEDVCEP</v>
          </cell>
          <cell r="F45"/>
          <cell r="G45">
            <v>1.1968599999999998</v>
          </cell>
          <cell r="H45">
            <v>1.05</v>
          </cell>
          <cell r="I45">
            <v>1.2567029999999999</v>
          </cell>
          <cell r="J45">
            <v>1.7952900000000001</v>
          </cell>
          <cell r="K45">
            <v>2.0945049999999998</v>
          </cell>
          <cell r="L45">
            <v>2026</v>
          </cell>
        </row>
        <row r="46">
          <cell r="A46" t="str">
            <v>ZG17PV002</v>
          </cell>
          <cell r="B46" t="str">
            <v>Raccord à visser PVDF, 3/8" - 10 mm (CeCon 3000)</v>
          </cell>
          <cell r="C46" t="str">
            <v>F1200373</v>
          </cell>
          <cell r="D46" t="str">
            <v>DWA</v>
          </cell>
          <cell r="E46" t="str">
            <v>MTEDVCEP</v>
          </cell>
          <cell r="F46"/>
          <cell r="G46">
            <v>18.371079999999999</v>
          </cell>
          <cell r="H46">
            <v>1.05</v>
          </cell>
          <cell r="I46">
            <v>19.289634</v>
          </cell>
          <cell r="J46">
            <v>27.556620000000002</v>
          </cell>
          <cell r="K46">
            <v>32.149390000000004</v>
          </cell>
          <cell r="L46">
            <v>2026</v>
          </cell>
        </row>
        <row r="47">
          <cell r="A47" t="str">
            <v>ZG17PV005</v>
          </cell>
          <cell r="B47" t="str">
            <v>Raccord à visser 90°, PVDF, 1/4" - 8 mm (CeCon 3000)</v>
          </cell>
          <cell r="C47" t="str">
            <v>F1200373</v>
          </cell>
          <cell r="D47" t="str">
            <v>DWA</v>
          </cell>
          <cell r="E47" t="str">
            <v>MTEDVCEP</v>
          </cell>
          <cell r="F47"/>
          <cell r="G47">
            <v>13.417809999999998</v>
          </cell>
          <cell r="H47">
            <v>1.05</v>
          </cell>
          <cell r="I47">
            <v>14.088700499999998</v>
          </cell>
          <cell r="J47">
            <v>20.126714999999997</v>
          </cell>
          <cell r="K47">
            <v>23.481167499999998</v>
          </cell>
          <cell r="L47">
            <v>2026</v>
          </cell>
        </row>
        <row r="48">
          <cell r="A48" t="str">
            <v>ZG17PV006</v>
          </cell>
          <cell r="B48" t="str">
            <v>Raccord à visser PVDF, 1/8" - 8 mm (CeCon 3000)</v>
          </cell>
          <cell r="C48" t="str">
            <v>F1200373</v>
          </cell>
          <cell r="D48" t="str">
            <v>DWA</v>
          </cell>
          <cell r="E48" t="str">
            <v>MTEDVCEP</v>
          </cell>
          <cell r="F48"/>
          <cell r="G48">
            <v>11.8965</v>
          </cell>
          <cell r="H48">
            <v>1.05</v>
          </cell>
          <cell r="I48">
            <v>12.491325</v>
          </cell>
          <cell r="J48">
            <v>17.844750000000001</v>
          </cell>
          <cell r="K48">
            <v>20.818875000000002</v>
          </cell>
          <cell r="L48">
            <v>2026</v>
          </cell>
        </row>
        <row r="49">
          <cell r="A49" t="str">
            <v>ZG17SR014</v>
          </cell>
          <cell r="B49" t="str">
            <v>Clip de sécurité (rouge) pour connecteurs JG de 6 mm (CeCon 3000)</v>
          </cell>
          <cell r="C49" t="str">
            <v>F1200373</v>
          </cell>
          <cell r="D49" t="str">
            <v>DWA</v>
          </cell>
          <cell r="E49" t="str">
            <v>MTEDVCEP</v>
          </cell>
          <cell r="F49"/>
          <cell r="G49">
            <v>0.308</v>
          </cell>
          <cell r="H49">
            <v>1.05</v>
          </cell>
          <cell r="I49">
            <v>0.32340000000000002</v>
          </cell>
          <cell r="J49">
            <v>0.46200000000000008</v>
          </cell>
          <cell r="K49">
            <v>0.53900000000000003</v>
          </cell>
          <cell r="L49">
            <v>2026</v>
          </cell>
        </row>
        <row r="50">
          <cell r="A50" t="str">
            <v>ZX0CEC3ES</v>
          </cell>
          <cell r="B50" t="str">
            <v>Logiciel CeCon 3000 (aération automatique) (CeCon 3000)</v>
          </cell>
          <cell r="C50" t="str">
            <v>F1200373</v>
          </cell>
          <cell r="D50" t="str">
            <v>DWA</v>
          </cell>
          <cell r="E50" t="str">
            <v>MTEDVCEP</v>
          </cell>
          <cell r="F50"/>
          <cell r="G50">
            <v>104.62899999999999</v>
          </cell>
          <cell r="H50">
            <v>1.05</v>
          </cell>
          <cell r="I50">
            <v>109.86045</v>
          </cell>
          <cell r="J50">
            <v>156.9435</v>
          </cell>
          <cell r="K50">
            <v>183.10075000000001</v>
          </cell>
          <cell r="L50">
            <v>2026</v>
          </cell>
        </row>
        <row r="51">
          <cell r="A51" t="str">
            <v>ZX0DISCEC</v>
          </cell>
          <cell r="B51" t="str">
            <v>Afficheur CECON (CeCon 3000)</v>
          </cell>
          <cell r="C51" t="str">
            <v>F1200373</v>
          </cell>
          <cell r="D51" t="str">
            <v>DWA</v>
          </cell>
          <cell r="E51" t="str">
            <v>MTEDVCEP</v>
          </cell>
          <cell r="F51"/>
          <cell r="G51">
            <v>136.374</v>
          </cell>
          <cell r="H51">
            <v>1.05</v>
          </cell>
          <cell r="I51">
            <v>143.1927</v>
          </cell>
          <cell r="J51">
            <v>204.56100000000001</v>
          </cell>
          <cell r="K51">
            <v>238.65450000000001</v>
          </cell>
          <cell r="L51">
            <v>2026</v>
          </cell>
        </row>
        <row r="52">
          <cell r="A52" t="str">
            <v>ZX1AK0014</v>
          </cell>
          <cell r="B52" t="str">
            <v>Batterie 3,6V (CeCon 3000)</v>
          </cell>
          <cell r="C52" t="str">
            <v>F1200373</v>
          </cell>
          <cell r="D52" t="str">
            <v>DWA</v>
          </cell>
          <cell r="E52" t="str">
            <v>MTEDVCEP</v>
          </cell>
          <cell r="F52"/>
          <cell r="G52">
            <v>23.064789999999999</v>
          </cell>
          <cell r="H52">
            <v>1.05</v>
          </cell>
          <cell r="I52">
            <v>24.2180295</v>
          </cell>
          <cell r="J52">
            <v>34.597185000000003</v>
          </cell>
          <cell r="K52">
            <v>40.3633825</v>
          </cell>
          <cell r="L52">
            <v>2026</v>
          </cell>
        </row>
        <row r="53">
          <cell r="A53" t="str">
            <v>ZX1SI0040</v>
          </cell>
          <cell r="B53" t="str">
            <v>Fusible 0,4 A lent / 5x20 mm (CeCon 3000)</v>
          </cell>
          <cell r="C53" t="str">
            <v>F1200373</v>
          </cell>
          <cell r="D53" t="str">
            <v>DWA</v>
          </cell>
          <cell r="E53" t="str">
            <v>MTEDVCEP</v>
          </cell>
          <cell r="F53"/>
          <cell r="G53">
            <v>1.085</v>
          </cell>
          <cell r="H53">
            <v>1.05</v>
          </cell>
          <cell r="I53">
            <v>1.1392500000000001</v>
          </cell>
          <cell r="J53">
            <v>1.6275000000000002</v>
          </cell>
          <cell r="K53">
            <v>1.8987500000000002</v>
          </cell>
          <cell r="L53">
            <v>2026</v>
          </cell>
        </row>
        <row r="54">
          <cell r="A54" t="str">
            <v>ZX1SI0120</v>
          </cell>
          <cell r="B54" t="str">
            <v>Fusible 1,25 A lent / 5x20 mm (CeCon 3000)</v>
          </cell>
          <cell r="C54" t="str">
            <v>F1200373</v>
          </cell>
          <cell r="D54" t="str">
            <v>DWA</v>
          </cell>
          <cell r="E54" t="str">
            <v>MTEDVCEP</v>
          </cell>
          <cell r="F54"/>
          <cell r="G54">
            <v>0.69299999999999995</v>
          </cell>
          <cell r="H54">
            <v>1.05</v>
          </cell>
          <cell r="I54">
            <v>0.72765000000000002</v>
          </cell>
          <cell r="J54">
            <v>1.0395000000000001</v>
          </cell>
          <cell r="K54">
            <v>1.21275</v>
          </cell>
          <cell r="L54">
            <v>2026</v>
          </cell>
        </row>
        <row r="55">
          <cell r="A55" t="str">
            <v>ZX1SI0160</v>
          </cell>
          <cell r="B55" t="str">
            <v>Fusible 1,6 A lent / 5x20 mm (CeCon 3000)</v>
          </cell>
          <cell r="C55" t="str">
            <v>F1200373</v>
          </cell>
          <cell r="D55" t="str">
            <v>DWA</v>
          </cell>
          <cell r="E55" t="str">
            <v>MTEDVCEP</v>
          </cell>
          <cell r="F55"/>
          <cell r="G55">
            <v>1.085</v>
          </cell>
          <cell r="H55">
            <v>1.05</v>
          </cell>
          <cell r="I55">
            <v>1.1392500000000001</v>
          </cell>
          <cell r="J55">
            <v>1.6275000000000002</v>
          </cell>
          <cell r="K55">
            <v>1.8987500000000002</v>
          </cell>
          <cell r="L55">
            <v>2026</v>
          </cell>
        </row>
        <row r="56">
          <cell r="A56" t="str">
            <v>ZX1SI0500</v>
          </cell>
          <cell r="B56" t="str">
            <v>Fusible 5 A lent / 5x20 mm (CeCon 3000)</v>
          </cell>
          <cell r="C56" t="str">
            <v>F1200373</v>
          </cell>
          <cell r="D56" t="str">
            <v>DWA</v>
          </cell>
          <cell r="E56" t="str">
            <v>MTEDVCEP</v>
          </cell>
          <cell r="F56"/>
          <cell r="G56">
            <v>1.085</v>
          </cell>
          <cell r="H56">
            <v>1.05</v>
          </cell>
          <cell r="I56">
            <v>1.1392500000000001</v>
          </cell>
          <cell r="J56">
            <v>1.6275000000000002</v>
          </cell>
          <cell r="K56">
            <v>1.8987500000000002</v>
          </cell>
          <cell r="L56">
            <v>2026</v>
          </cell>
        </row>
        <row r="57">
          <cell r="A57" t="str">
            <v>SO8BCABOX</v>
          </cell>
          <cell r="B57" t="str">
            <v>Assortiment de connecteurs de rechange (incl. Tuyau : 2m. ZG05PE008 (8x6 mm) + 1m. ZG05SI021 (14,4x8 mm) (CeCon 3000)</v>
          </cell>
          <cell r="C57" t="str">
            <v>F1200373</v>
          </cell>
          <cell r="D57" t="str">
            <v>DWA</v>
          </cell>
          <cell r="E57" t="str">
            <v>MTEDVCEP</v>
          </cell>
          <cell r="F57"/>
          <cell r="G57">
            <v>294.64999999999998</v>
          </cell>
          <cell r="H57">
            <v>1.05</v>
          </cell>
          <cell r="I57">
            <v>309.38249999999999</v>
          </cell>
          <cell r="J57">
            <v>441.97500000000002</v>
          </cell>
          <cell r="K57">
            <v>515.63750000000005</v>
          </cell>
          <cell r="L57">
            <v>2025</v>
          </cell>
        </row>
        <row r="58">
          <cell r="A58" t="str">
            <v>EZG07VM019</v>
          </cell>
          <cell r="B58" t="str">
            <v>Moteur pour pompe d'alimentation concentré (incl. 4 entretoises et vis de fixation) (CeCon 3000)</v>
          </cell>
          <cell r="C58" t="str">
            <v>F1200373</v>
          </cell>
          <cell r="D58" t="str">
            <v>DWA</v>
          </cell>
          <cell r="E58" t="str">
            <v>MTEDVCEP</v>
          </cell>
          <cell r="F58"/>
          <cell r="G58">
            <v>448.87</v>
          </cell>
          <cell r="H58">
            <v>1.05</v>
          </cell>
          <cell r="I58">
            <v>471.31350000000003</v>
          </cell>
          <cell r="J58">
            <v>673.30500000000006</v>
          </cell>
          <cell r="K58">
            <v>785.52250000000004</v>
          </cell>
          <cell r="L58">
            <v>2024</v>
          </cell>
        </row>
        <row r="60">
          <cell r="A60" t="str">
            <v>EZX0SV0095</v>
          </cell>
          <cell r="B60" t="str">
            <v>Power supply SV 95 (CeCon 3000)</v>
          </cell>
          <cell r="C60" t="str">
            <v>F1200373</v>
          </cell>
          <cell r="D60" t="str">
            <v>DWA</v>
          </cell>
          <cell r="E60" t="str">
            <v>MTEDVCEP</v>
          </cell>
          <cell r="F60"/>
          <cell r="G60" t="str">
            <v>Price on request</v>
          </cell>
          <cell r="H60">
            <v>1.05</v>
          </cell>
          <cell r="I60" t="str">
            <v>Sur demande</v>
          </cell>
          <cell r="J60" t="str">
            <v>Sur demande</v>
          </cell>
          <cell r="K60" t="str">
            <v>Sur demande</v>
          </cell>
          <cell r="L60">
            <v>2025</v>
          </cell>
        </row>
        <row r="61">
          <cell r="A61" t="str">
            <v>SO8C62086</v>
          </cell>
          <cell r="B61" t="str">
            <v>Bloc concentrateur connexion simple (type 1, for SW version 061215 only) (CeCon 3000)</v>
          </cell>
          <cell r="C61" t="str">
            <v>F1200373</v>
          </cell>
          <cell r="D61" t="str">
            <v>DWA</v>
          </cell>
          <cell r="E61" t="str">
            <v>MTEDVCEP</v>
          </cell>
          <cell r="F61"/>
          <cell r="G61">
            <v>319.15100000000001</v>
          </cell>
          <cell r="H61">
            <v>1.05</v>
          </cell>
          <cell r="I61">
            <v>335.10855000000004</v>
          </cell>
          <cell r="J61">
            <v>478.7265000000001</v>
          </cell>
          <cell r="K61">
            <v>558.51425000000006</v>
          </cell>
          <cell r="L61">
            <v>2026</v>
          </cell>
        </row>
        <row r="62">
          <cell r="A62" t="str">
            <v>SO8C62087</v>
          </cell>
          <cell r="B62" t="str">
            <v>Bloc concentrateur connexion douple (type 1, for SW version 061215 only) (CeCon 3000)</v>
          </cell>
          <cell r="C62" t="str">
            <v>F1200373</v>
          </cell>
          <cell r="D62" t="str">
            <v>DWA</v>
          </cell>
          <cell r="E62" t="str">
            <v>MTEDVCEP</v>
          </cell>
          <cell r="F62"/>
          <cell r="G62">
            <v>516.56765999999993</v>
          </cell>
          <cell r="H62">
            <v>1.05</v>
          </cell>
          <cell r="I62">
            <v>542.39604299999996</v>
          </cell>
          <cell r="J62">
            <v>774.85149000000001</v>
          </cell>
          <cell r="K62">
            <v>903.99340499999994</v>
          </cell>
          <cell r="L62">
            <v>2026</v>
          </cell>
        </row>
        <row r="63">
          <cell r="A63" t="str">
            <v>X1SI0100</v>
          </cell>
          <cell r="B63" t="str">
            <v>Fuse 1 A time lag / 5x20 mm (CeCon 3000)</v>
          </cell>
          <cell r="C63" t="str">
            <v>F1200373</v>
          </cell>
          <cell r="D63" t="str">
            <v>DWA</v>
          </cell>
          <cell r="E63" t="str">
            <v>MTEDVCEP</v>
          </cell>
          <cell r="F63"/>
          <cell r="G63" t="str">
            <v>Price on request</v>
          </cell>
          <cell r="H63">
            <v>1.05</v>
          </cell>
          <cell r="I63" t="str">
            <v>Sur demande</v>
          </cell>
          <cell r="J63" t="str">
            <v>Sur demande</v>
          </cell>
          <cell r="K63" t="str">
            <v>Sur demande</v>
          </cell>
          <cell r="L63">
            <v>2025</v>
          </cell>
        </row>
        <row r="65">
          <cell r="A65" t="str">
            <v>ZG05SI019</v>
          </cell>
          <cell r="B65" t="str">
            <v>Silicone hose OD 14.4x3.2 red (25 m) (CeCon 3000)</v>
          </cell>
          <cell r="C65" t="str">
            <v>F1200373</v>
          </cell>
          <cell r="D65" t="str">
            <v>DWA</v>
          </cell>
          <cell r="E65" t="str">
            <v>MTEDVCEP</v>
          </cell>
          <cell r="F65"/>
          <cell r="G65">
            <v>24.922799999999999</v>
          </cell>
          <cell r="H65">
            <v>1.05</v>
          </cell>
          <cell r="I65">
            <v>26.168939999999999</v>
          </cell>
          <cell r="J65">
            <v>37.3842</v>
          </cell>
          <cell r="K65">
            <v>43.614899999999999</v>
          </cell>
          <cell r="L65">
            <v>2026</v>
          </cell>
        </row>
        <row r="66">
          <cell r="A66" t="str">
            <v>ZG10P0012</v>
          </cell>
          <cell r="B66" t="str">
            <v>CPC-Connector 1/4" (Version 1) (CeCon 3000)</v>
          </cell>
          <cell r="C66" t="str">
            <v>F1200373</v>
          </cell>
          <cell r="D66" t="str">
            <v>DWA</v>
          </cell>
          <cell r="E66" t="str">
            <v>MTEDVCEP</v>
          </cell>
          <cell r="F66"/>
          <cell r="G66">
            <v>16.118549999999999</v>
          </cell>
          <cell r="H66">
            <v>1.05</v>
          </cell>
          <cell r="I66">
            <v>16.924477499999998</v>
          </cell>
          <cell r="J66">
            <v>24.177824999999999</v>
          </cell>
          <cell r="K66">
            <v>28.207462499999998</v>
          </cell>
          <cell r="L66">
            <v>2026</v>
          </cell>
        </row>
        <row r="67">
          <cell r="A67" t="str">
            <v>ZG17PV003</v>
          </cell>
          <cell r="B67" t="str">
            <v>Male adaptor hose nozzle 8-1/4 (CeCon 3000)</v>
          </cell>
          <cell r="C67" t="str">
            <v>F1200373</v>
          </cell>
          <cell r="D67" t="str">
            <v>DWA</v>
          </cell>
          <cell r="E67" t="str">
            <v>MTEDVCEP</v>
          </cell>
          <cell r="F67"/>
          <cell r="G67">
            <v>9.8272300000000001</v>
          </cell>
          <cell r="H67">
            <v>1.05</v>
          </cell>
          <cell r="I67">
            <v>10.3185915</v>
          </cell>
          <cell r="J67">
            <v>14.740845000000002</v>
          </cell>
          <cell r="K67">
            <v>17.1976525</v>
          </cell>
          <cell r="L67">
            <v>2026</v>
          </cell>
        </row>
        <row r="68">
          <cell r="A68" t="str">
            <v>ZX0CEC3EX</v>
          </cell>
          <cell r="B68" t="str">
            <v>Software Cecon 061215 (old version 1) (CeCon 3000)</v>
          </cell>
          <cell r="C68" t="str">
            <v>F1200373</v>
          </cell>
          <cell r="D68" t="str">
            <v>DWA</v>
          </cell>
          <cell r="E68" t="str">
            <v>MTEDVCEP</v>
          </cell>
          <cell r="F68"/>
          <cell r="G68">
            <v>104.62899999999999</v>
          </cell>
          <cell r="H68">
            <v>1.05</v>
          </cell>
          <cell r="I68">
            <v>109.86045</v>
          </cell>
          <cell r="J68">
            <v>156.9435</v>
          </cell>
          <cell r="K68">
            <v>183.10075000000001</v>
          </cell>
          <cell r="L68">
            <v>2026</v>
          </cell>
        </row>
        <row r="70">
          <cell r="A70" t="str">
            <v>OUTILS CALIBRATION (cf. HRO41 - Tarif pièces &amp; consos.xlsx)</v>
          </cell>
        </row>
        <row r="71">
          <cell r="A71" t="str">
            <v>SO8B00035</v>
          </cell>
          <cell r="B71" t="str">
            <v>Appareil de mesure (manomètre 0-6 bar Ncpc) pour HemoRO 4 ONE (HRO41) &amp; CeCon3000</v>
          </cell>
          <cell r="C71" t="str">
            <v>F1200373</v>
          </cell>
          <cell r="D71" t="str">
            <v>DWA</v>
          </cell>
          <cell r="E71" t="str">
            <v>MTEDVOIZ</v>
          </cell>
          <cell r="F71"/>
          <cell r="G71">
            <v>111.84</v>
          </cell>
          <cell r="H71">
            <v>1.05</v>
          </cell>
          <cell r="I71">
            <v>117.432</v>
          </cell>
          <cell r="J71">
            <v>167.76000000000002</v>
          </cell>
          <cell r="K71">
            <v>195.72</v>
          </cell>
          <cell r="L71">
            <v>2025</v>
          </cell>
        </row>
        <row r="72">
          <cell r="A72" t="str">
            <v>SO8B00034</v>
          </cell>
          <cell r="B72" t="str">
            <v>Appareil de mesure (manomètre 0-2,5 bar Ncpc) pour CeCon3000</v>
          </cell>
          <cell r="C72" t="str">
            <v>F1200373</v>
          </cell>
          <cell r="D72" t="str">
            <v>DWA</v>
          </cell>
          <cell r="E72" t="str">
            <v>MTEDVOIZ</v>
          </cell>
          <cell r="F72"/>
          <cell r="G72">
            <v>109.91</v>
          </cell>
          <cell r="H72">
            <v>1.05</v>
          </cell>
          <cell r="I72">
            <v>115.4055</v>
          </cell>
          <cell r="J72">
            <v>164.86500000000001</v>
          </cell>
          <cell r="K72">
            <v>192.3425</v>
          </cell>
          <cell r="L72">
            <v>2025</v>
          </cell>
        </row>
        <row r="73">
          <cell r="A73" t="str">
            <v>SO8B00077</v>
          </cell>
          <cell r="B73" t="str">
            <v>Adaptateur Test Ncpc-Ccpc-Ccpc pour CeCon3000</v>
          </cell>
          <cell r="C73" t="str">
            <v>F1200373</v>
          </cell>
          <cell r="D73" t="str">
            <v>DWA</v>
          </cell>
          <cell r="E73" t="str">
            <v>MTEDVOIZ</v>
          </cell>
          <cell r="F73"/>
          <cell r="G73">
            <v>199.23</v>
          </cell>
          <cell r="H73">
            <v>1.05</v>
          </cell>
          <cell r="I73">
            <v>209.19149999999999</v>
          </cell>
          <cell r="J73">
            <v>298.84500000000003</v>
          </cell>
          <cell r="K73">
            <v>348.65249999999997</v>
          </cell>
          <cell r="L73">
            <v>2025</v>
          </cell>
        </row>
        <row r="74">
          <cell r="A74" t="str">
            <v>S08B02100</v>
          </cell>
          <cell r="B74" t="str">
            <v>Tuyau de vidange longueur 1m. (CeCon3000)</v>
          </cell>
          <cell r="C74" t="str">
            <v>F1200373</v>
          </cell>
          <cell r="D74" t="str">
            <v>DWA</v>
          </cell>
          <cell r="E74" t="str">
            <v>MTEDVOIZ</v>
          </cell>
          <cell r="F74"/>
          <cell r="G74">
            <v>98.6</v>
          </cell>
          <cell r="H74">
            <v>1.05</v>
          </cell>
          <cell r="I74">
            <v>103.53</v>
          </cell>
          <cell r="J74">
            <v>147.9</v>
          </cell>
          <cell r="K74">
            <v>172.55</v>
          </cell>
          <cell r="L74">
            <v>2025</v>
          </cell>
        </row>
        <row r="76">
          <cell r="A76" t="str">
            <v>DN50FX8</v>
          </cell>
          <cell r="B76" t="str">
            <v>DN50 F pour tuyau 8 mm (raccords BIB / CeCon 3000)</v>
          </cell>
          <cell r="C76" t="str">
            <v>F1200521</v>
          </cell>
          <cell r="D76" t="str">
            <v>CDF Corporation</v>
          </cell>
          <cell r="E76" t="str">
            <v>DCOCIBBD</v>
          </cell>
          <cell r="G76">
            <v>66.739999999999995</v>
          </cell>
          <cell r="H76">
            <v>1</v>
          </cell>
          <cell r="I76">
            <v>66.739999999999995</v>
          </cell>
          <cell r="J76">
            <v>95.342857142857142</v>
          </cell>
          <cell r="K76">
            <v>111.23333333333333</v>
          </cell>
          <cell r="L76">
            <v>2025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E102-2671-48AA-AB5C-91F80A24DA43}">
  <dimension ref="A1:P68"/>
  <sheetViews>
    <sheetView showGridLines="0" tabSelected="1" zoomScaleNormal="100" workbookViewId="0">
      <selection activeCell="F3" sqref="F3:F4"/>
    </sheetView>
  </sheetViews>
  <sheetFormatPr baseColWidth="10" defaultColWidth="11.44140625" defaultRowHeight="14.4" x14ac:dyDescent="0.3"/>
  <cols>
    <col min="1" max="1" width="17.44140625" customWidth="1"/>
    <col min="2" max="2" width="13.6640625" customWidth="1"/>
    <col min="3" max="3" width="9" customWidth="1"/>
    <col min="4" max="4" width="10.33203125" customWidth="1"/>
    <col min="5" max="5" width="3" customWidth="1"/>
    <col min="6" max="6" width="13" customWidth="1"/>
    <col min="7" max="7" width="13.5546875" customWidth="1"/>
    <col min="8" max="8" width="9.109375" customWidth="1"/>
    <col min="9" max="9" width="7.109375" customWidth="1"/>
    <col min="10" max="10" width="4" customWidth="1"/>
    <col min="11" max="11" width="18.109375" customWidth="1"/>
    <col min="12" max="12" width="14.88671875" customWidth="1"/>
    <col min="16" max="16" width="12.33203125" customWidth="1"/>
  </cols>
  <sheetData>
    <row r="1" spans="1:16" ht="30" customHeight="1" x14ac:dyDescent="0.3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K1" s="202" t="s">
        <v>1</v>
      </c>
      <c r="L1" s="203"/>
    </row>
    <row r="2" spans="1:16" ht="9.9" customHeight="1" x14ac:dyDescent="0.3">
      <c r="A2" s="157" t="s">
        <v>2</v>
      </c>
      <c r="B2" s="7"/>
      <c r="C2" s="7"/>
      <c r="D2" s="7"/>
      <c r="E2" s="7"/>
      <c r="F2" s="5"/>
      <c r="G2" s="7"/>
      <c r="H2" s="7"/>
      <c r="I2" s="7"/>
      <c r="J2" s="7"/>
    </row>
    <row r="3" spans="1:16" x14ac:dyDescent="0.3">
      <c r="A3" s="10" t="s">
        <v>3</v>
      </c>
      <c r="B3" s="211"/>
      <c r="C3" s="212"/>
      <c r="D3" s="213"/>
      <c r="E3" s="9"/>
      <c r="F3" s="9" t="s">
        <v>4</v>
      </c>
      <c r="G3" s="10" t="s">
        <v>5</v>
      </c>
      <c r="H3" s="217" t="s">
        <v>6</v>
      </c>
      <c r="I3" s="217"/>
      <c r="J3" s="9"/>
      <c r="K3" s="93" t="s">
        <v>7</v>
      </c>
      <c r="L3" s="94" t="s">
        <v>8</v>
      </c>
    </row>
    <row r="4" spans="1:16" x14ac:dyDescent="0.3">
      <c r="A4" s="9"/>
      <c r="B4" s="9"/>
      <c r="C4" s="9"/>
      <c r="D4" s="9"/>
      <c r="E4" s="9"/>
      <c r="F4" s="128"/>
      <c r="G4" s="9"/>
      <c r="H4" s="9"/>
      <c r="I4" s="9"/>
      <c r="J4" s="9"/>
      <c r="K4" s="171" t="s">
        <v>9</v>
      </c>
      <c r="L4" s="94" t="s">
        <v>10</v>
      </c>
    </row>
    <row r="5" spans="1:16" ht="15" thickBot="1" x14ac:dyDescent="0.35">
      <c r="A5" s="10" t="s">
        <v>11</v>
      </c>
      <c r="B5" s="214"/>
      <c r="C5" s="215"/>
      <c r="D5" s="216"/>
      <c r="E5" s="224" t="s">
        <v>12</v>
      </c>
      <c r="F5" s="225"/>
      <c r="G5" s="95" t="s">
        <v>13</v>
      </c>
      <c r="H5" s="226"/>
      <c r="I5" s="226"/>
      <c r="J5" s="9"/>
      <c r="K5" s="9"/>
    </row>
    <row r="6" spans="1:16" x14ac:dyDescent="0.3">
      <c r="A6" s="10" t="s">
        <v>14</v>
      </c>
      <c r="B6" s="218"/>
      <c r="C6" s="219"/>
      <c r="D6" s="220"/>
      <c r="E6" s="9"/>
      <c r="F6" s="151"/>
      <c r="G6" s="9"/>
      <c r="H6" s="9"/>
      <c r="I6" s="9"/>
      <c r="J6" s="9"/>
      <c r="K6" s="204" t="s">
        <v>15</v>
      </c>
      <c r="L6" s="205"/>
    </row>
    <row r="7" spans="1:16" x14ac:dyDescent="0.3">
      <c r="A7" s="9"/>
      <c r="B7" s="218"/>
      <c r="C7" s="219"/>
      <c r="D7" s="220"/>
      <c r="E7" s="224" t="s">
        <v>16</v>
      </c>
      <c r="F7" s="225"/>
      <c r="G7" s="95" t="s">
        <v>17</v>
      </c>
      <c r="H7" s="182"/>
      <c r="I7" s="183"/>
      <c r="J7" s="9"/>
      <c r="K7" s="206"/>
      <c r="L7" s="207"/>
      <c r="O7" s="96"/>
      <c r="P7" s="3"/>
    </row>
    <row r="8" spans="1:16" x14ac:dyDescent="0.3">
      <c r="A8" s="9"/>
      <c r="B8" s="221"/>
      <c r="C8" s="222"/>
      <c r="D8" s="223"/>
      <c r="E8" s="9"/>
      <c r="F8" s="151"/>
      <c r="G8" s="9"/>
      <c r="H8" s="9"/>
      <c r="I8" s="227" t="s">
        <v>18</v>
      </c>
      <c r="J8" s="9"/>
      <c r="K8" s="206"/>
      <c r="L8" s="207"/>
      <c r="O8" s="96"/>
      <c r="P8" s="96"/>
    </row>
    <row r="9" spans="1:16" ht="15" customHeight="1" thickBot="1" x14ac:dyDescent="0.35">
      <c r="A9" s="9"/>
      <c r="B9" s="9"/>
      <c r="C9" s="9"/>
      <c r="D9" s="9"/>
      <c r="E9" s="9"/>
      <c r="F9" s="3" t="s">
        <v>19</v>
      </c>
      <c r="G9" s="159" t="s">
        <v>20</v>
      </c>
      <c r="H9" s="159" t="s">
        <v>21</v>
      </c>
      <c r="I9" s="228"/>
      <c r="J9" s="9"/>
      <c r="K9" s="208"/>
      <c r="L9" s="209"/>
      <c r="N9" s="98"/>
      <c r="O9" s="99" t="s">
        <v>22</v>
      </c>
      <c r="P9" s="100" t="s">
        <v>23</v>
      </c>
    </row>
    <row r="10" spans="1:16" ht="15" customHeight="1" x14ac:dyDescent="0.3">
      <c r="A10" s="10" t="s">
        <v>24</v>
      </c>
      <c r="B10" s="235"/>
      <c r="C10" s="235"/>
      <c r="D10" s="235"/>
      <c r="E10" s="101"/>
      <c r="F10" s="130" t="s">
        <v>25</v>
      </c>
      <c r="G10" s="151"/>
      <c r="H10" s="156"/>
      <c r="I10" s="132"/>
      <c r="J10" s="9"/>
      <c r="N10" s="98"/>
      <c r="O10" s="96">
        <f>IF(ISBLANK(B10),0,2)</f>
        <v>0</v>
      </c>
      <c r="P10" s="96"/>
    </row>
    <row r="11" spans="1:16" ht="15" customHeight="1" x14ac:dyDescent="0.3">
      <c r="A11" s="10" t="s">
        <v>26</v>
      </c>
      <c r="B11" s="235"/>
      <c r="C11" s="235"/>
      <c r="D11" s="235"/>
      <c r="E11" s="9"/>
      <c r="F11" s="131" t="s">
        <v>25</v>
      </c>
      <c r="G11" s="151"/>
      <c r="H11" s="156"/>
      <c r="I11" s="132"/>
      <c r="J11" s="9"/>
      <c r="K11" s="231" t="s">
        <v>27</v>
      </c>
      <c r="L11" s="232"/>
      <c r="N11" s="102"/>
      <c r="O11" s="96">
        <f>IF(ISBLANK(B11),0,2)</f>
        <v>0</v>
      </c>
      <c r="P11" s="96"/>
    </row>
    <row r="12" spans="1:16" ht="15" customHeight="1" x14ac:dyDescent="0.3">
      <c r="A12" s="10" t="s">
        <v>28</v>
      </c>
      <c r="B12" s="235"/>
      <c r="C12" s="235"/>
      <c r="D12" s="235"/>
      <c r="E12" s="9"/>
      <c r="F12" s="131" t="s">
        <v>25</v>
      </c>
      <c r="G12" s="151"/>
      <c r="H12" s="156"/>
      <c r="I12" s="132"/>
      <c r="J12" s="9"/>
      <c r="K12" s="233"/>
      <c r="L12" s="234"/>
      <c r="N12" s="102"/>
      <c r="O12" s="96"/>
      <c r="P12" s="96"/>
    </row>
    <row r="13" spans="1:16" x14ac:dyDescent="0.3">
      <c r="A13" s="244" t="s">
        <v>29</v>
      </c>
      <c r="B13" s="9"/>
      <c r="C13" s="9"/>
      <c r="D13" s="9"/>
      <c r="E13" s="9"/>
      <c r="F13" s="3" t="s">
        <v>30</v>
      </c>
      <c r="G13" s="3"/>
      <c r="I13" s="97" t="s">
        <v>31</v>
      </c>
      <c r="J13" s="9"/>
      <c r="N13" s="98"/>
      <c r="O13" s="99" t="s">
        <v>32</v>
      </c>
      <c r="P13" s="96" t="s">
        <v>33</v>
      </c>
    </row>
    <row r="14" spans="1:16" x14ac:dyDescent="0.3">
      <c r="A14" s="244"/>
      <c r="B14" s="167"/>
      <c r="C14" s="163" t="s">
        <v>34</v>
      </c>
      <c r="D14" s="164"/>
      <c r="E14" s="9"/>
      <c r="F14" s="133"/>
      <c r="G14" s="9"/>
      <c r="I14" s="133"/>
      <c r="J14" s="9"/>
      <c r="K14" s="140"/>
      <c r="L14" s="83"/>
      <c r="N14" s="102"/>
      <c r="O14" s="96"/>
      <c r="P14" s="96"/>
    </row>
    <row r="15" spans="1:16" ht="9.9" customHeight="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141"/>
      <c r="L15" s="141"/>
      <c r="O15" s="96"/>
      <c r="P15" s="96"/>
    </row>
    <row r="16" spans="1:16" ht="15" customHeight="1" x14ac:dyDescent="0.3">
      <c r="A16" s="103" t="s">
        <v>35</v>
      </c>
      <c r="B16" s="187"/>
      <c r="C16" s="187"/>
      <c r="D16" s="187"/>
      <c r="E16" s="187"/>
      <c r="F16" s="193" t="s">
        <v>36</v>
      </c>
      <c r="G16" s="194"/>
      <c r="H16" s="188"/>
      <c r="I16" s="189"/>
      <c r="J16" s="9"/>
      <c r="K16" s="141"/>
      <c r="L16" s="141"/>
      <c r="O16" s="104"/>
      <c r="P16" s="104"/>
    </row>
    <row r="17" spans="1:12" ht="15" customHeight="1" x14ac:dyDescent="0.3">
      <c r="A17" s="103" t="s">
        <v>37</v>
      </c>
      <c r="B17" s="187"/>
      <c r="C17" s="187"/>
      <c r="D17" s="187"/>
      <c r="E17" s="187"/>
      <c r="F17" s="193" t="s">
        <v>38</v>
      </c>
      <c r="G17" s="194"/>
      <c r="H17" s="238"/>
      <c r="I17" s="239"/>
      <c r="J17" s="9"/>
      <c r="K17" s="141"/>
      <c r="L17" s="141"/>
    </row>
    <row r="18" spans="1:12" ht="15" customHeight="1" x14ac:dyDescent="0.3">
      <c r="A18" s="103" t="s">
        <v>39</v>
      </c>
      <c r="B18" s="187"/>
      <c r="C18" s="187"/>
      <c r="D18" s="187"/>
      <c r="E18" s="187"/>
      <c r="F18" s="105"/>
      <c r="G18" s="240" t="s">
        <v>40</v>
      </c>
      <c r="H18" s="241"/>
      <c r="I18" s="134"/>
      <c r="J18" s="9"/>
      <c r="K18" s="141"/>
      <c r="L18" s="141"/>
    </row>
    <row r="19" spans="1:12" ht="8.4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142"/>
      <c r="L19" s="83"/>
    </row>
    <row r="20" spans="1:12" x14ac:dyDescent="0.3">
      <c r="A20" s="10" t="s">
        <v>41</v>
      </c>
      <c r="B20" s="195"/>
      <c r="C20" s="196"/>
      <c r="D20" s="196"/>
      <c r="E20" s="196"/>
      <c r="F20" s="196"/>
      <c r="G20" s="196"/>
      <c r="H20" s="196"/>
      <c r="I20" s="197"/>
      <c r="J20" s="9"/>
      <c r="K20" s="142"/>
      <c r="L20" s="83"/>
    </row>
    <row r="21" spans="1:12" ht="14.4" customHeight="1" x14ac:dyDescent="0.3">
      <c r="A21" s="9"/>
      <c r="B21" s="184"/>
      <c r="C21" s="185"/>
      <c r="D21" s="185"/>
      <c r="E21" s="185"/>
      <c r="F21" s="185"/>
      <c r="G21" s="185"/>
      <c r="H21" s="185"/>
      <c r="I21" s="186"/>
      <c r="J21" s="9"/>
      <c r="K21" s="142"/>
      <c r="L21" s="83"/>
    </row>
    <row r="22" spans="1:12" ht="8.4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106"/>
      <c r="K22" s="143"/>
      <c r="L22" s="83"/>
    </row>
    <row r="23" spans="1:12" x14ac:dyDescent="0.3">
      <c r="A23" s="242" t="s">
        <v>42</v>
      </c>
      <c r="B23" s="242"/>
      <c r="C23" s="242"/>
      <c r="D23" s="242"/>
      <c r="E23" s="242"/>
      <c r="F23" s="242"/>
      <c r="G23" s="243"/>
      <c r="H23" s="243"/>
      <c r="I23" s="242"/>
      <c r="J23" s="6"/>
      <c r="K23" s="83"/>
      <c r="L23" s="83"/>
    </row>
    <row r="24" spans="1:12" x14ac:dyDescent="0.3">
      <c r="A24" s="7"/>
      <c r="B24" s="147" t="s">
        <v>43</v>
      </c>
      <c r="C24" s="182"/>
      <c r="D24" s="183"/>
      <c r="E24" s="7"/>
      <c r="F24" s="7"/>
      <c r="G24" s="200" t="s">
        <v>44</v>
      </c>
      <c r="H24" s="201"/>
      <c r="I24" s="135" t="s">
        <v>45</v>
      </c>
      <c r="J24" s="6"/>
      <c r="K24" s="83"/>
      <c r="L24" s="83"/>
    </row>
    <row r="25" spans="1:12" x14ac:dyDescent="0.3">
      <c r="A25" s="7"/>
      <c r="B25" s="107"/>
      <c r="C25" s="108"/>
      <c r="D25" s="109"/>
      <c r="E25" s="7"/>
      <c r="F25" s="7"/>
      <c r="G25" s="90"/>
      <c r="H25" s="90"/>
      <c r="I25" s="8"/>
      <c r="J25" s="6"/>
      <c r="K25" s="83"/>
      <c r="L25" s="83"/>
    </row>
    <row r="26" spans="1:12" x14ac:dyDescent="0.3">
      <c r="A26" s="110" t="s">
        <v>46</v>
      </c>
      <c r="B26" s="182"/>
      <c r="C26" s="237"/>
      <c r="D26" s="183"/>
      <c r="E26" s="7"/>
      <c r="F26" s="110" t="s">
        <v>47</v>
      </c>
      <c r="G26" s="182" t="s">
        <v>48</v>
      </c>
      <c r="H26" s="237"/>
      <c r="I26" s="183"/>
      <c r="J26" s="6"/>
      <c r="K26" s="83"/>
      <c r="L26" s="83"/>
    </row>
    <row r="27" spans="1:12" x14ac:dyDescent="0.3">
      <c r="A27" s="7"/>
      <c r="B27" s="111" t="s">
        <v>49</v>
      </c>
      <c r="C27" s="136"/>
      <c r="D27" s="7"/>
      <c r="E27" s="7"/>
      <c r="F27" s="7"/>
      <c r="G27" s="111" t="s">
        <v>49</v>
      </c>
      <c r="H27" s="136"/>
      <c r="I27" s="7"/>
      <c r="J27" s="6"/>
      <c r="K27" s="83"/>
      <c r="L27" s="83"/>
    </row>
    <row r="28" spans="1:12" x14ac:dyDescent="0.3">
      <c r="A28" s="7"/>
      <c r="B28" s="112"/>
      <c r="C28" s="113"/>
      <c r="D28" s="8"/>
      <c r="E28" s="7"/>
      <c r="F28" s="114" t="s">
        <v>50</v>
      </c>
      <c r="G28" s="7"/>
      <c r="H28" s="7"/>
      <c r="I28" s="7"/>
      <c r="J28" s="6"/>
      <c r="K28" s="83"/>
      <c r="L28" s="83"/>
    </row>
    <row r="29" spans="1:12" ht="15" customHeight="1" x14ac:dyDescent="0.3">
      <c r="A29" s="115" t="s">
        <v>51</v>
      </c>
      <c r="B29" s="116" t="s">
        <v>52</v>
      </c>
      <c r="C29" s="137"/>
      <c r="D29" s="7"/>
      <c r="E29" s="7"/>
      <c r="F29" s="115" t="s">
        <v>53</v>
      </c>
      <c r="G29" s="116" t="s">
        <v>52</v>
      </c>
      <c r="H29" s="137"/>
      <c r="I29" s="7"/>
      <c r="J29" s="6"/>
      <c r="K29" s="83"/>
      <c r="L29" s="83"/>
    </row>
    <row r="30" spans="1:12" x14ac:dyDescent="0.3">
      <c r="A30" s="117" t="s">
        <v>54</v>
      </c>
      <c r="B30" s="116" t="s">
        <v>55</v>
      </c>
      <c r="C30" s="138"/>
      <c r="D30" s="7"/>
      <c r="E30" s="7"/>
      <c r="F30" s="117" t="s">
        <v>56</v>
      </c>
      <c r="G30" s="116" t="s">
        <v>55</v>
      </c>
      <c r="H30" s="138"/>
      <c r="I30" s="7"/>
      <c r="J30" s="6"/>
      <c r="K30" s="83"/>
      <c r="L30" s="83"/>
    </row>
    <row r="31" spans="1:12" ht="15" customHeight="1" x14ac:dyDescent="0.3">
      <c r="A31" s="7"/>
      <c r="B31" s="116" t="s">
        <v>57</v>
      </c>
      <c r="C31" s="192"/>
      <c r="D31" s="192"/>
      <c r="E31" s="7"/>
      <c r="F31" s="7"/>
      <c r="G31" s="116" t="s">
        <v>57</v>
      </c>
      <c r="H31" s="182"/>
      <c r="I31" s="183"/>
      <c r="J31" s="6"/>
      <c r="K31" s="83"/>
      <c r="L31" s="144"/>
    </row>
    <row r="32" spans="1:12" x14ac:dyDescent="0.3">
      <c r="A32" s="118" t="s">
        <v>58</v>
      </c>
      <c r="B32" s="7"/>
      <c r="C32" s="7"/>
      <c r="D32" s="7"/>
      <c r="E32" s="7"/>
      <c r="F32" s="7"/>
      <c r="G32" s="7"/>
      <c r="H32" s="7"/>
      <c r="I32" s="7"/>
      <c r="J32" s="6"/>
      <c r="K32" s="83"/>
      <c r="L32" s="83"/>
    </row>
    <row r="33" spans="1:12" ht="15" customHeight="1" x14ac:dyDescent="0.3">
      <c r="A33" s="119" t="s">
        <v>59</v>
      </c>
      <c r="B33" s="116" t="s">
        <v>52</v>
      </c>
      <c r="C33" s="137" t="s">
        <v>60</v>
      </c>
      <c r="D33" s="7"/>
      <c r="E33" s="7"/>
      <c r="F33" s="119" t="s">
        <v>61</v>
      </c>
      <c r="G33" s="116" t="s">
        <v>52</v>
      </c>
      <c r="H33" s="137" t="s">
        <v>62</v>
      </c>
      <c r="I33" s="7"/>
      <c r="J33" s="6"/>
      <c r="K33" s="83"/>
      <c r="L33" s="83"/>
    </row>
    <row r="34" spans="1:12" x14ac:dyDescent="0.3">
      <c r="A34" s="117" t="s">
        <v>63</v>
      </c>
      <c r="B34" s="116" t="s">
        <v>55</v>
      </c>
      <c r="C34" s="138">
        <v>2</v>
      </c>
      <c r="D34" s="7"/>
      <c r="E34" s="7"/>
      <c r="F34" s="117" t="s">
        <v>64</v>
      </c>
      <c r="G34" s="116" t="s">
        <v>55</v>
      </c>
      <c r="H34" s="138">
        <v>2</v>
      </c>
      <c r="I34" s="7"/>
      <c r="J34" s="6"/>
      <c r="K34" s="83"/>
      <c r="L34" s="145"/>
    </row>
    <row r="35" spans="1:12" ht="15" customHeight="1" x14ac:dyDescent="0.3">
      <c r="A35" s="7"/>
      <c r="B35" s="116" t="s">
        <v>57</v>
      </c>
      <c r="C35" s="192" t="s">
        <v>65</v>
      </c>
      <c r="D35" s="192"/>
      <c r="E35" s="7"/>
      <c r="F35" s="7"/>
      <c r="G35" s="116" t="s">
        <v>57</v>
      </c>
      <c r="H35" s="182" t="s">
        <v>66</v>
      </c>
      <c r="I35" s="183"/>
      <c r="J35" s="6"/>
      <c r="K35" s="83"/>
      <c r="L35" s="83"/>
    </row>
    <row r="36" spans="1:12" x14ac:dyDescent="0.3">
      <c r="A36" s="7"/>
      <c r="B36" s="7"/>
      <c r="C36" s="7"/>
      <c r="D36" s="7"/>
      <c r="E36" s="7"/>
      <c r="F36" s="7"/>
      <c r="G36" s="7"/>
      <c r="H36" s="7"/>
      <c r="I36" s="7"/>
      <c r="J36" s="6"/>
      <c r="K36" s="83"/>
      <c r="L36" s="83"/>
    </row>
    <row r="37" spans="1:12" x14ac:dyDescent="0.3">
      <c r="A37" s="119" t="s">
        <v>67</v>
      </c>
      <c r="B37" s="116" t="s">
        <v>52</v>
      </c>
      <c r="C37" s="137" t="s">
        <v>62</v>
      </c>
      <c r="D37" s="7"/>
      <c r="E37" s="7"/>
      <c r="F37" s="110" t="s">
        <v>68</v>
      </c>
      <c r="G37" s="182" t="s">
        <v>69</v>
      </c>
      <c r="H37" s="237"/>
      <c r="I37" s="183"/>
      <c r="J37" s="7"/>
      <c r="K37" s="83"/>
      <c r="L37" s="83"/>
    </row>
    <row r="38" spans="1:12" x14ac:dyDescent="0.3">
      <c r="A38" s="117" t="s">
        <v>63</v>
      </c>
      <c r="B38" s="116" t="s">
        <v>55</v>
      </c>
      <c r="C38" s="138">
        <v>2</v>
      </c>
      <c r="D38" s="7"/>
      <c r="E38" s="7"/>
      <c r="F38" s="120" t="s">
        <v>70</v>
      </c>
      <c r="G38" s="7"/>
      <c r="H38" s="7"/>
      <c r="I38" s="7"/>
      <c r="J38" s="6"/>
      <c r="K38" s="83"/>
      <c r="L38" s="83"/>
    </row>
    <row r="39" spans="1:12" ht="15" customHeight="1" x14ac:dyDescent="0.3">
      <c r="A39" s="7"/>
      <c r="B39" s="116" t="s">
        <v>57</v>
      </c>
      <c r="C39" s="192" t="s">
        <v>71</v>
      </c>
      <c r="D39" s="192"/>
      <c r="E39" s="7"/>
      <c r="F39" s="7"/>
      <c r="G39" s="7"/>
      <c r="H39" s="7"/>
      <c r="I39" s="7"/>
      <c r="J39" s="6"/>
      <c r="K39" s="83"/>
      <c r="L39" s="83"/>
    </row>
    <row r="40" spans="1:12" x14ac:dyDescent="0.3">
      <c r="A40" s="7"/>
      <c r="B40" s="7"/>
      <c r="C40" s="7"/>
      <c r="D40" s="7"/>
      <c r="E40" s="7"/>
      <c r="F40" s="198" t="s">
        <v>72</v>
      </c>
      <c r="G40" s="199"/>
      <c r="H40" s="106"/>
      <c r="J40" s="6"/>
      <c r="K40" s="83"/>
      <c r="L40" s="83"/>
    </row>
    <row r="41" spans="1:12" x14ac:dyDescent="0.3">
      <c r="A41" s="110" t="s">
        <v>73</v>
      </c>
      <c r="B41" s="192" t="s">
        <v>74</v>
      </c>
      <c r="C41" s="192"/>
      <c r="D41" s="192"/>
      <c r="E41" s="7"/>
      <c r="F41" s="200" t="s">
        <v>55</v>
      </c>
      <c r="G41" s="201"/>
      <c r="H41" s="135">
        <v>1</v>
      </c>
      <c r="J41" s="6"/>
      <c r="K41" s="83"/>
      <c r="L41" s="83"/>
    </row>
    <row r="42" spans="1:12" ht="15" customHeight="1" x14ac:dyDescent="0.3">
      <c r="A42" s="7"/>
      <c r="B42" s="111" t="s">
        <v>49</v>
      </c>
      <c r="C42" s="136">
        <v>2</v>
      </c>
      <c r="D42" s="7"/>
      <c r="E42" s="7"/>
      <c r="J42" s="6"/>
      <c r="K42" s="83"/>
      <c r="L42" s="83"/>
    </row>
    <row r="43" spans="1:12" x14ac:dyDescent="0.3">
      <c r="A43" s="7"/>
      <c r="B43" s="7"/>
      <c r="C43" s="7"/>
      <c r="D43" s="7"/>
      <c r="E43" s="7"/>
      <c r="F43" s="200" t="s">
        <v>75</v>
      </c>
      <c r="G43" s="201"/>
      <c r="H43" s="182" t="s">
        <v>76</v>
      </c>
      <c r="I43" s="183"/>
      <c r="J43" s="7"/>
      <c r="K43" s="83"/>
      <c r="L43" s="83"/>
    </row>
    <row r="44" spans="1:12" x14ac:dyDescent="0.3">
      <c r="A44" s="236" t="s">
        <v>77</v>
      </c>
      <c r="B44" s="236"/>
      <c r="C44" s="135" t="s">
        <v>76</v>
      </c>
      <c r="E44" s="7"/>
      <c r="F44" s="198" t="s">
        <v>78</v>
      </c>
      <c r="G44" s="199"/>
      <c r="H44" s="139"/>
      <c r="J44" s="6"/>
      <c r="K44" s="83"/>
      <c r="L44" s="83"/>
    </row>
    <row r="45" spans="1:12" x14ac:dyDescent="0.3">
      <c r="A45" s="114" t="s">
        <v>50</v>
      </c>
      <c r="B45" s="7"/>
      <c r="C45" s="7"/>
      <c r="D45" s="7"/>
      <c r="E45" s="7"/>
      <c r="F45" s="200" t="s">
        <v>79</v>
      </c>
      <c r="G45" s="201"/>
      <c r="H45" s="135"/>
      <c r="J45" s="6"/>
      <c r="K45" s="83"/>
      <c r="L45" s="83"/>
    </row>
    <row r="46" spans="1:12" x14ac:dyDescent="0.3">
      <c r="A46" s="110" t="s">
        <v>80</v>
      </c>
      <c r="B46" s="192" t="s">
        <v>81</v>
      </c>
      <c r="C46" s="192"/>
      <c r="D46" s="192"/>
      <c r="E46" s="7"/>
      <c r="F46" s="155" t="s">
        <v>82</v>
      </c>
      <c r="G46" s="158"/>
      <c r="H46" s="161" t="s">
        <v>21</v>
      </c>
      <c r="I46" s="142"/>
      <c r="J46" s="6"/>
      <c r="K46" s="83"/>
      <c r="L46" s="83"/>
    </row>
    <row r="47" spans="1:12" x14ac:dyDescent="0.3">
      <c r="A47" s="120" t="s">
        <v>83</v>
      </c>
      <c r="B47" s="122"/>
      <c r="C47" s="122"/>
      <c r="D47" s="122"/>
      <c r="E47" s="7"/>
      <c r="F47" s="154" t="s">
        <v>84</v>
      </c>
      <c r="G47" s="156"/>
      <c r="H47" s="160"/>
      <c r="I47" s="162"/>
      <c r="J47" s="6"/>
      <c r="K47" s="83"/>
      <c r="L47" s="83"/>
    </row>
    <row r="48" spans="1:12" ht="8.4" customHeight="1" x14ac:dyDescent="0.3">
      <c r="A48" s="120"/>
      <c r="B48" s="122"/>
      <c r="C48" s="122"/>
      <c r="D48" s="122"/>
      <c r="E48" s="7"/>
      <c r="F48" s="113"/>
      <c r="G48" s="113"/>
      <c r="H48" s="152"/>
      <c r="I48" s="153"/>
      <c r="J48" s="6"/>
      <c r="K48" s="83"/>
      <c r="L48" s="83"/>
    </row>
    <row r="49" spans="1:12" x14ac:dyDescent="0.3">
      <c r="A49" s="190" t="s">
        <v>85</v>
      </c>
      <c r="B49" s="190"/>
      <c r="C49" s="7"/>
      <c r="E49" s="7"/>
      <c r="F49" s="121" t="s">
        <v>86</v>
      </c>
      <c r="G49" s="123"/>
      <c r="H49" s="124"/>
      <c r="I49" s="125" t="s">
        <v>87</v>
      </c>
      <c r="J49" s="6"/>
      <c r="K49" s="83"/>
      <c r="L49" s="83"/>
    </row>
    <row r="50" spans="1:12" x14ac:dyDescent="0.3">
      <c r="A50" s="191" t="s">
        <v>88</v>
      </c>
      <c r="B50" s="191"/>
      <c r="C50" s="135"/>
      <c r="D50" s="122"/>
      <c r="E50" s="7"/>
      <c r="F50" s="229" t="s">
        <v>89</v>
      </c>
      <c r="G50" s="230"/>
      <c r="H50" s="129"/>
      <c r="I50" s="137"/>
      <c r="J50" s="6"/>
      <c r="K50" s="83"/>
      <c r="L50" s="83"/>
    </row>
    <row r="51" spans="1:12" ht="15" customHeight="1" x14ac:dyDescent="0.3">
      <c r="A51" s="191" t="s">
        <v>90</v>
      </c>
      <c r="B51" s="191"/>
      <c r="C51" s="135">
        <v>5</v>
      </c>
      <c r="D51" s="122"/>
      <c r="E51" s="7"/>
      <c r="F51" s="229" t="s">
        <v>91</v>
      </c>
      <c r="G51" s="230"/>
      <c r="H51" s="129"/>
      <c r="I51" s="137"/>
      <c r="J51" s="6"/>
      <c r="K51" s="83"/>
      <c r="L51" s="83"/>
    </row>
    <row r="52" spans="1:12" x14ac:dyDescent="0.3">
      <c r="A52" s="7"/>
      <c r="B52" s="7"/>
      <c r="C52" s="7"/>
      <c r="D52" s="7"/>
      <c r="E52" s="7"/>
      <c r="F52" s="229" t="s">
        <v>92</v>
      </c>
      <c r="G52" s="230"/>
      <c r="H52" s="129"/>
      <c r="I52" s="137"/>
      <c r="J52" s="6"/>
      <c r="K52" s="83"/>
      <c r="L52" s="83"/>
    </row>
    <row r="53" spans="1:12" x14ac:dyDescent="0.3">
      <c r="A53" s="190" t="s">
        <v>93</v>
      </c>
      <c r="B53" s="190"/>
      <c r="C53" s="190"/>
      <c r="D53" s="7"/>
      <c r="E53" s="7"/>
      <c r="F53" s="229" t="s">
        <v>94</v>
      </c>
      <c r="G53" s="230"/>
      <c r="H53" s="129"/>
      <c r="I53" s="137"/>
      <c r="J53" s="6"/>
      <c r="K53" s="83"/>
      <c r="L53" s="83"/>
    </row>
    <row r="54" spans="1:12" x14ac:dyDescent="0.3">
      <c r="A54" s="191" t="s">
        <v>95</v>
      </c>
      <c r="B54" s="191"/>
      <c r="C54" s="135" t="s">
        <v>45</v>
      </c>
      <c r="D54" s="7"/>
      <c r="E54" s="7"/>
      <c r="F54" s="229" t="s">
        <v>96</v>
      </c>
      <c r="G54" s="230"/>
      <c r="H54" s="129"/>
      <c r="I54" s="137"/>
      <c r="J54" s="6"/>
      <c r="K54" s="83"/>
      <c r="L54" s="83"/>
    </row>
    <row r="55" spans="1:12" ht="14.4" customHeight="1" x14ac:dyDescent="0.3">
      <c r="A55" s="191" t="s">
        <v>97</v>
      </c>
      <c r="B55" s="191"/>
      <c r="C55" s="135" t="s">
        <v>45</v>
      </c>
      <c r="D55" s="7"/>
      <c r="E55" s="7"/>
      <c r="F55" s="229" t="s">
        <v>98</v>
      </c>
      <c r="G55" s="230"/>
      <c r="H55" s="129"/>
      <c r="I55" s="137"/>
      <c r="J55" s="6"/>
      <c r="K55" s="83"/>
      <c r="L55" s="83"/>
    </row>
    <row r="56" spans="1:12" ht="8.4" customHeight="1" x14ac:dyDescent="0.3">
      <c r="A56" s="7"/>
      <c r="B56" s="7"/>
      <c r="C56" s="8"/>
      <c r="D56" s="7"/>
      <c r="E56" s="7"/>
      <c r="I56" s="7"/>
      <c r="J56" s="6"/>
      <c r="K56" s="83"/>
      <c r="L56" s="83"/>
    </row>
    <row r="57" spans="1:12" x14ac:dyDescent="0.3">
      <c r="A57" s="191" t="s">
        <v>99</v>
      </c>
      <c r="B57" s="191"/>
      <c r="C57" s="135" t="s">
        <v>45</v>
      </c>
      <c r="D57" s="106"/>
      <c r="E57" s="126" t="s">
        <v>100</v>
      </c>
      <c r="F57" s="176" t="s">
        <v>101</v>
      </c>
      <c r="G57" s="177"/>
      <c r="H57" s="177"/>
      <c r="I57" s="7"/>
      <c r="J57" s="6"/>
      <c r="K57" s="83"/>
      <c r="L57" s="83"/>
    </row>
    <row r="58" spans="1:12" x14ac:dyDescent="0.3">
      <c r="A58" s="191" t="s">
        <v>102</v>
      </c>
      <c r="B58" s="191"/>
      <c r="C58" s="135" t="s">
        <v>45</v>
      </c>
      <c r="D58" s="7"/>
      <c r="E58" s="7"/>
      <c r="F58" s="179"/>
      <c r="G58" s="180"/>
      <c r="H58" s="181"/>
      <c r="I58" s="7"/>
      <c r="J58" s="6"/>
      <c r="K58" s="83"/>
      <c r="L58" s="83"/>
    </row>
    <row r="59" spans="1:12" x14ac:dyDescent="0.3">
      <c r="A59" s="127" t="s">
        <v>103</v>
      </c>
      <c r="B59" s="7"/>
      <c r="C59" s="7"/>
      <c r="D59" s="7"/>
      <c r="E59" s="7"/>
      <c r="F59" s="178" t="s">
        <v>104</v>
      </c>
      <c r="G59" s="178"/>
      <c r="H59" s="178"/>
      <c r="I59" s="135"/>
      <c r="J59" s="6"/>
    </row>
    <row r="60" spans="1:12" ht="8.4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6"/>
    </row>
    <row r="61" spans="1:12" x14ac:dyDescent="0.3">
      <c r="A61" s="176" t="s">
        <v>105</v>
      </c>
      <c r="B61" s="177"/>
      <c r="C61" s="177"/>
      <c r="D61" s="106"/>
      <c r="E61" s="7"/>
      <c r="I61" s="7"/>
      <c r="J61" s="6"/>
    </row>
    <row r="62" spans="1:12" x14ac:dyDescent="0.3">
      <c r="A62" s="173" t="s">
        <v>106</v>
      </c>
      <c r="B62" s="174"/>
      <c r="C62" s="175"/>
      <c r="D62" s="135"/>
      <c r="E62" s="7"/>
      <c r="F62" s="169" t="s">
        <v>107</v>
      </c>
      <c r="I62" s="7"/>
      <c r="J62" s="6"/>
    </row>
    <row r="63" spans="1:12" x14ac:dyDescent="0.3">
      <c r="A63" s="173" t="s">
        <v>108</v>
      </c>
      <c r="B63" s="174"/>
      <c r="C63" s="175"/>
      <c r="D63" s="135"/>
      <c r="E63" s="7"/>
      <c r="F63" s="170" t="s">
        <v>22</v>
      </c>
      <c r="G63" s="135"/>
      <c r="I63" s="7"/>
      <c r="J63" s="6"/>
    </row>
    <row r="64" spans="1:12" x14ac:dyDescent="0.3">
      <c r="A64" s="173" t="s">
        <v>109</v>
      </c>
      <c r="B64" s="174"/>
      <c r="C64" s="175"/>
      <c r="D64" s="135"/>
      <c r="E64" s="7"/>
      <c r="F64" s="168" t="s">
        <v>110</v>
      </c>
      <c r="G64" s="135"/>
      <c r="H64" s="7"/>
      <c r="I64" s="7"/>
      <c r="J64" s="6"/>
    </row>
    <row r="65" spans="1:10" x14ac:dyDescent="0.3">
      <c r="A65" s="173" t="s">
        <v>111</v>
      </c>
      <c r="B65" s="174"/>
      <c r="C65" s="175"/>
      <c r="D65" s="135"/>
      <c r="E65" s="7"/>
      <c r="F65" s="7"/>
      <c r="G65" s="7"/>
      <c r="H65" s="7"/>
      <c r="I65" s="7"/>
      <c r="J65" s="6"/>
    </row>
    <row r="66" spans="1:10" x14ac:dyDescent="0.3">
      <c r="A66" s="7"/>
      <c r="B66" s="7"/>
      <c r="C66" s="7"/>
      <c r="D66" s="7"/>
      <c r="E66" s="7"/>
      <c r="F66" s="7"/>
      <c r="G66" s="7"/>
      <c r="H66" s="7"/>
      <c r="I66" s="7"/>
    </row>
    <row r="67" spans="1:10" x14ac:dyDescent="0.3">
      <c r="A67" s="5"/>
      <c r="B67" s="5"/>
      <c r="C67" s="5"/>
      <c r="D67" s="5"/>
      <c r="E67" s="5"/>
      <c r="F67" s="5"/>
      <c r="G67" s="5"/>
      <c r="H67" s="5"/>
      <c r="I67" s="5"/>
    </row>
    <row r="68" spans="1:10" x14ac:dyDescent="0.3">
      <c r="A68" s="5"/>
      <c r="B68" s="5"/>
      <c r="C68" s="5"/>
      <c r="D68" s="5"/>
      <c r="E68" s="5"/>
      <c r="F68" s="5"/>
      <c r="G68" s="5"/>
      <c r="H68" s="5"/>
      <c r="I68" s="5"/>
    </row>
  </sheetData>
  <mergeCells count="71">
    <mergeCell ref="B10:D10"/>
    <mergeCell ref="B12:D12"/>
    <mergeCell ref="G37:I37"/>
    <mergeCell ref="F41:G41"/>
    <mergeCell ref="C31:D31"/>
    <mergeCell ref="C35:D35"/>
    <mergeCell ref="C39:D39"/>
    <mergeCell ref="F17:G17"/>
    <mergeCell ref="G18:H18"/>
    <mergeCell ref="A23:I23"/>
    <mergeCell ref="G26:I26"/>
    <mergeCell ref="A13:A14"/>
    <mergeCell ref="K11:L12"/>
    <mergeCell ref="B11:D11"/>
    <mergeCell ref="F53:G53"/>
    <mergeCell ref="B41:D41"/>
    <mergeCell ref="A44:B44"/>
    <mergeCell ref="B16:E16"/>
    <mergeCell ref="F45:G45"/>
    <mergeCell ref="F40:G40"/>
    <mergeCell ref="F43:G43"/>
    <mergeCell ref="H43:I43"/>
    <mergeCell ref="C24:D24"/>
    <mergeCell ref="H31:I31"/>
    <mergeCell ref="H35:I35"/>
    <mergeCell ref="B26:D26"/>
    <mergeCell ref="H17:I17"/>
    <mergeCell ref="A55:B55"/>
    <mergeCell ref="F54:G54"/>
    <mergeCell ref="A54:B54"/>
    <mergeCell ref="F55:G55"/>
    <mergeCell ref="F50:G50"/>
    <mergeCell ref="A53:C53"/>
    <mergeCell ref="F52:G52"/>
    <mergeCell ref="F51:G51"/>
    <mergeCell ref="A50:B50"/>
    <mergeCell ref="A51:B51"/>
    <mergeCell ref="K1:L1"/>
    <mergeCell ref="K6:L9"/>
    <mergeCell ref="A1:I1"/>
    <mergeCell ref="B3:D3"/>
    <mergeCell ref="B5:D5"/>
    <mergeCell ref="H3:I3"/>
    <mergeCell ref="B6:D6"/>
    <mergeCell ref="B7:D7"/>
    <mergeCell ref="B8:D8"/>
    <mergeCell ref="E7:F7"/>
    <mergeCell ref="H5:I5"/>
    <mergeCell ref="I8:I9"/>
    <mergeCell ref="E5:F5"/>
    <mergeCell ref="F59:H59"/>
    <mergeCell ref="F57:H57"/>
    <mergeCell ref="F58:H58"/>
    <mergeCell ref="H7:I7"/>
    <mergeCell ref="B21:I21"/>
    <mergeCell ref="B18:E18"/>
    <mergeCell ref="H16:I16"/>
    <mergeCell ref="A49:B49"/>
    <mergeCell ref="A58:B58"/>
    <mergeCell ref="A57:B57"/>
    <mergeCell ref="B46:D46"/>
    <mergeCell ref="F16:G16"/>
    <mergeCell ref="B20:I20"/>
    <mergeCell ref="F44:G44"/>
    <mergeCell ref="B17:E17"/>
    <mergeCell ref="G24:H24"/>
    <mergeCell ref="A62:C62"/>
    <mergeCell ref="A63:C63"/>
    <mergeCell ref="A64:C64"/>
    <mergeCell ref="A65:C65"/>
    <mergeCell ref="A61:C61"/>
  </mergeCells>
  <dataValidations count="4">
    <dataValidation type="list" showInputMessage="1" showErrorMessage="1" sqref="C31:D31 C35:D35 C39:D39" xr:uid="{3180718D-9439-4D0B-A549-DCC218DD0196}">
      <formula1>INDIRECT($C29)</formula1>
    </dataValidation>
    <dataValidation showInputMessage="1" showErrorMessage="1" sqref="B47:B48 D64 H46" xr:uid="{0B0617C0-9653-495D-BA21-886A292C2132}"/>
    <dataValidation showDropDown="1" showInputMessage="1" showErrorMessage="1" sqref="D28" xr:uid="{04ECDCD8-907D-497A-B702-C3C822AB3E57}"/>
    <dataValidation type="list" showInputMessage="1" showErrorMessage="1" sqref="H31 H35" xr:uid="{42DA1CB1-F3FE-4066-856C-97B731012F57}">
      <formula1>INDIRECT($H29)</formula1>
    </dataValidation>
  </dataValidations>
  <pageMargins left="0.39370078740157483" right="0.39370078740157483" top="0.19685039370078741" bottom="0.19685039370078741" header="0.31496062992125984" footer="0.31496062992125984"/>
  <pageSetup paperSize="9" scale="94" orientation="portrait" verticalDpi="599" r:id="rId1"/>
  <drawing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showInputMessage="1" showErrorMessage="1" xr:uid="{6B8BFBEC-6269-4A19-838F-F82E55CFB033}">
          <x14:formula1>
            <xm:f>carters!$A$3:$A$7</xm:f>
          </x14:formula1>
          <xm:sqref>H33 C33 C37 H29</xm:sqref>
        </x14:dataValidation>
        <x14:dataValidation type="list" showInputMessage="1" showErrorMessage="1" xr:uid="{342722BD-1D12-417F-8309-AD0FEE3585AE}">
          <x14:formula1>
            <xm:f>listes!$N$8:$N$13</xm:f>
          </x14:formula1>
          <xm:sqref>G26</xm:sqref>
        </x14:dataValidation>
        <x14:dataValidation type="list" showInputMessage="1" showErrorMessage="1" xr:uid="{B628F0C7-2CF8-49EE-A6EE-CE4916E4AA52}">
          <x14:formula1>
            <xm:f>listes!$L$1:$L$4</xm:f>
          </x14:formula1>
          <xm:sqref>C38 H27 H34 H30 C30 C34 C27</xm:sqref>
        </x14:dataValidation>
        <x14:dataValidation type="list" showInputMessage="1" showErrorMessage="1" xr:uid="{81EE4E7C-5DB4-4222-AB1B-BBC15B09FFAD}">
          <x14:formula1>
            <xm:f>listes!$M$1:$M$10</xm:f>
          </x14:formula1>
          <xm:sqref>C50:C51 D63 D65</xm:sqref>
        </x14:dataValidation>
        <x14:dataValidation type="list" showInputMessage="1" showErrorMessage="1" xr:uid="{7EAEF93B-DED2-449C-892A-1993AC9A7617}">
          <x14:formula1>
            <xm:f>listes!$L$1:$L$2</xm:f>
          </x14:formula1>
          <xm:sqref>H41</xm:sqref>
        </x14:dataValidation>
        <x14:dataValidation type="list" showInputMessage="1" showErrorMessage="1" xr:uid="{C8FE902E-58F8-4CEC-8520-9D52CAFA2368}">
          <x14:formula1>
            <xm:f>listes!$O$1:$O$2</xm:f>
          </x14:formula1>
          <xm:sqref>C54:C55 H50:H55 C57:C58 H44 C44 I59 I24:I25 D25</xm:sqref>
        </x14:dataValidation>
        <x14:dataValidation type="list" showInputMessage="1" showErrorMessage="1" xr:uid="{EB2177C0-FA57-4A4F-A6D5-4720CE1E6BAD}">
          <x14:formula1>
            <xm:f>listes!$K$1:$K$4</xm:f>
          </x14:formula1>
          <xm:sqref>H45</xm:sqref>
        </x14:dataValidation>
        <x14:dataValidation type="list" showInputMessage="1" showErrorMessage="1" xr:uid="{BC5D7F6E-C0E6-4A9A-93E2-51AF99570DCD}">
          <x14:formula1>
            <xm:f>listes!$L$2:$L$4</xm:f>
          </x14:formula1>
          <xm:sqref>C42</xm:sqref>
        </x14:dataValidation>
        <x14:dataValidation type="list" showInputMessage="1" showErrorMessage="1" xr:uid="{F9C65D41-8357-4F99-8C2E-B91A88E25762}">
          <x14:formula1>
            <xm:f>listes!$D$1:$D$2</xm:f>
          </x14:formula1>
          <xm:sqref>I10:I12</xm:sqref>
        </x14:dataValidation>
        <x14:dataValidation type="list" xr:uid="{4BCD4031-5B81-4322-9F72-E276308D77C6}">
          <x14:formula1>
            <xm:f>listes!$J$1:$J$3</xm:f>
          </x14:formula1>
          <xm:sqref>F14</xm:sqref>
        </x14:dataValidation>
        <x14:dataValidation type="list" showInputMessage="1" showErrorMessage="1" xr:uid="{17C2A9EA-372D-48E5-8DCF-A3022FB248F2}">
          <x14:formula1>
            <xm:f>listes!$I$1:$I$5</xm:f>
          </x14:formula1>
          <xm:sqref>I14</xm:sqref>
        </x14:dataValidation>
        <x14:dataValidation type="list" allowBlank="1" showInputMessage="1" showErrorMessage="1" xr:uid="{AE6293DE-B33D-4B84-9A53-9D431F2B96DC}">
          <x14:formula1>
            <xm:f>listes!$E$1:$E$4</xm:f>
          </x14:formula1>
          <xm:sqref>H5:I5</xm:sqref>
        </x14:dataValidation>
        <x14:dataValidation type="list" showInputMessage="1" showErrorMessage="1" xr:uid="{0FF0D59F-1A9B-4600-827D-F7401AD5A150}">
          <x14:formula1>
            <xm:f>carters!$A$2</xm:f>
          </x14:formula1>
          <xm:sqref>C29</xm:sqref>
        </x14:dataValidation>
        <x14:dataValidation type="list" showInputMessage="1" showErrorMessage="1" xr:uid="{CEED2D49-1965-4080-8B55-BE926007A2B8}">
          <x14:formula1>
            <xm:f>listes!$C$1:$C$4</xm:f>
          </x14:formula1>
          <xm:sqref>B46:D46</xm:sqref>
        </x14:dataValidation>
        <x14:dataValidation type="list" showInputMessage="1" showErrorMessage="1" xr:uid="{FED19903-F1CF-47D7-A37D-F7CE0C2371C2}">
          <x14:formula1>
            <xm:f>listes!$C$8:$C$10</xm:f>
          </x14:formula1>
          <xm:sqref>G37</xm:sqref>
        </x14:dataValidation>
        <x14:dataValidation type="list" showInputMessage="1" showErrorMessage="1" xr:uid="{01F6EF58-7765-46FC-BBD6-D7C875B39993}">
          <x14:formula1>
            <xm:f>listes!$P$1:$P$4</xm:f>
          </x14:formula1>
          <xm:sqref>H7</xm:sqref>
        </x14:dataValidation>
        <x14:dataValidation type="list" showInputMessage="1" showErrorMessage="1" xr:uid="{E3CE46CF-A026-425E-9C25-219DDF8C5085}">
          <x14:formula1>
            <xm:f>listes!$Q$1:$Q$5</xm:f>
          </x14:formula1>
          <xm:sqref>F58:H58</xm:sqref>
        </x14:dataValidation>
        <x14:dataValidation type="list" showInputMessage="1" xr:uid="{86AAA54C-199C-429B-BBD6-37D6D111CA1B}">
          <x14:formula1>
            <xm:f>listes!$R$1:$R$5</xm:f>
          </x14:formula1>
          <xm:sqref>H43</xm:sqref>
        </x14:dataValidation>
        <x14:dataValidation type="list" allowBlank="1" showInputMessage="1" showErrorMessage="1" xr:uid="{5440C856-9ADB-42E4-B481-5D064B9E8198}">
          <x14:formula1>
            <xm:f>listes!$L$1:$L$4</xm:f>
          </x14:formula1>
          <xm:sqref>I50:I53</xm:sqref>
        </x14:dataValidation>
        <x14:dataValidation type="list" showInputMessage="1" showErrorMessage="1" xr:uid="{51A6C4D4-381D-4CED-9F95-3CBC6CD4B7FD}">
          <x14:formula1>
            <xm:f>listes!$N$1:$N$7</xm:f>
          </x14:formula1>
          <xm:sqref>B41:D41</xm:sqref>
        </x14:dataValidation>
        <x14:dataValidation type="list" showInputMessage="1" showErrorMessage="1" xr:uid="{A90C0D9A-AAD0-423A-BAF8-C5008CECE45F}">
          <x14:formula1>
            <xm:f>listes!$N$14:$N$19</xm:f>
          </x14:formula1>
          <xm:sqref>B26:D26</xm:sqref>
        </x14:dataValidation>
        <x14:dataValidation type="list" showInputMessage="1" xr:uid="{8A5547B2-9373-4EC3-A4E4-FACAC9F90DDD}">
          <x14:formula1>
            <xm:f>listes!$F$1:$F$7</xm:f>
          </x14:formula1>
          <xm:sqref>B16:E16</xm:sqref>
        </x14:dataValidation>
        <x14:dataValidation type="list" showInputMessage="1" showErrorMessage="1" xr:uid="{81F67CB3-823D-42A6-B9D4-1B76BA6CB3A9}">
          <x14:formula1>
            <xm:f>listes!$G$1:$G$4</xm:f>
          </x14:formula1>
          <xm:sqref>B17</xm:sqref>
        </x14:dataValidation>
        <x14:dataValidation type="list" showInputMessage="1" showErrorMessage="1" xr:uid="{B2138C45-E745-4343-8AEB-C86872BFE598}">
          <x14:formula1>
            <xm:f>listes!$S$1:$S$6</xm:f>
          </x14:formula1>
          <xm:sqref>G46</xm:sqref>
        </x14:dataValidation>
        <x14:dataValidation type="list" showInputMessage="1" showErrorMessage="1" xr:uid="{4F482A3E-3016-4E69-8986-E086F855F46C}">
          <x14:formula1>
            <xm:f>listes!$T$1:$T$6</xm:f>
          </x14:formula1>
          <xm:sqref>C24:D24</xm:sqref>
        </x14:dataValidation>
        <x14:dataValidation type="list" allowBlank="1" xr:uid="{F95764A0-6BDE-417F-97B7-251F5BE441E9}">
          <x14:formula1>
            <xm:f>listes!$A$1:$A$20</xm:f>
          </x14:formula1>
          <xm:sqref>B10:D12</xm:sqref>
        </x14:dataValidation>
        <x14:dataValidation type="list" showInputMessage="1" showErrorMessage="1" xr:uid="{EAAF7494-90AD-4C65-AC15-D1C2EBA58958}">
          <x14:formula1>
            <xm:f>listes!$H$1:$H$2</xm:f>
          </x14:formula1>
          <xm:sqref>B18</xm:sqref>
        </x14:dataValidation>
        <x14:dataValidation type="list" allowBlank="1" showInputMessage="1" showErrorMessage="1" xr:uid="{BE054534-B045-4BB4-9546-C9D50AA67087}">
          <x14:formula1>
            <xm:f>listes!$L$1:$L$8</xm:f>
          </x14:formula1>
          <xm:sqref>I54</xm:sqref>
        </x14:dataValidation>
        <x14:dataValidation type="list" showInputMessage="1" showErrorMessage="1" xr:uid="{91008F04-CB75-4DFB-94DE-5FF08CD54611}">
          <x14:formula1>
            <xm:f>listes!$U$1:$U$7</xm:f>
          </x14:formula1>
          <xm:sqref>D62</xm:sqref>
        </x14:dataValidation>
        <x14:dataValidation type="list" allowBlank="1" xr:uid="{B097EB93-CD3A-4F1F-926D-E026C91D5244}">
          <x14:formula1>
            <xm:f>listes!$B$1:$B$20</xm:f>
          </x14:formula1>
          <xm:sqref>I18</xm:sqref>
        </x14:dataValidation>
        <x14:dataValidation type="list" allowBlank="1" xr:uid="{AC8313D0-73F9-47FC-A752-87B68BBE7287}">
          <x14:formula1>
            <xm:f>listes!$V$1:$V$20</xm:f>
          </x14:formula1>
          <xm:sqref>D14</xm:sqref>
        </x14:dataValidation>
        <x14:dataValidation type="list" allowBlank="1" showInputMessage="1" showErrorMessage="1" xr:uid="{6B54780D-D7E7-4362-9959-661922B59D0D}">
          <x14:formula1>
            <xm:f>listes!$W$1:$W$5</xm:f>
          </x14:formula1>
          <xm:sqref>G63</xm:sqref>
        </x14:dataValidation>
        <x14:dataValidation type="list" allowBlank="1" showInputMessage="1" showErrorMessage="1" xr:uid="{637F2B08-3E78-4406-8566-4A7FB56CE65C}">
          <x14:formula1>
            <xm:f>listes!$X$1:$X$5</xm:f>
          </x14:formula1>
          <xm:sqref>G64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A547-5147-4C00-B7BD-1E8BB2075E71}">
  <dimension ref="A1:J45"/>
  <sheetViews>
    <sheetView topLeftCell="C5" workbookViewId="0">
      <selection activeCell="E16" sqref="E16"/>
    </sheetView>
  </sheetViews>
  <sheetFormatPr baseColWidth="10" defaultColWidth="11.44140625" defaultRowHeight="14.4" x14ac:dyDescent="0.3"/>
  <cols>
    <col min="1" max="1" width="15.5546875" hidden="1" customWidth="1"/>
    <col min="2" max="2" width="10.44140625" hidden="1" customWidth="1"/>
    <col min="3" max="3" width="2.6640625" customWidth="1"/>
    <col min="4" max="4" width="20.109375" customWidth="1"/>
    <col min="5" max="5" width="49.5546875" customWidth="1"/>
    <col min="6" max="6" width="5.109375" style="11" customWidth="1"/>
    <col min="7" max="7" width="9.44140625" customWidth="1"/>
    <col min="8" max="8" width="11" customWidth="1"/>
  </cols>
  <sheetData>
    <row r="1" spans="1:10" ht="20.100000000000001" customHeight="1" x14ac:dyDescent="0.3">
      <c r="A1" s="6"/>
      <c r="B1" s="6"/>
      <c r="C1" s="6"/>
      <c r="D1" s="172" t="str">
        <f>Installation!H3</f>
        <v>T</v>
      </c>
      <c r="E1" s="13" t="str">
        <f>Installation!A1</f>
        <v>TTE / FICHE NOUVEAU SITE</v>
      </c>
      <c r="F1" s="12"/>
      <c r="G1" s="245">
        <f>Installation!F4</f>
        <v>0</v>
      </c>
      <c r="H1" s="245"/>
      <c r="I1" s="6"/>
    </row>
    <row r="2" spans="1:10" ht="20.100000000000001" customHeight="1" x14ac:dyDescent="0.3">
      <c r="A2" s="6"/>
      <c r="B2" s="6"/>
      <c r="C2" s="6"/>
      <c r="D2" s="8"/>
      <c r="E2" s="13"/>
      <c r="F2" s="12"/>
      <c r="H2" s="8"/>
      <c r="I2" s="6"/>
    </row>
    <row r="3" spans="1:10" ht="20.100000000000001" customHeight="1" x14ac:dyDescent="0.3">
      <c r="A3" s="6"/>
      <c r="B3" s="6"/>
      <c r="C3" s="6"/>
      <c r="D3" s="8"/>
      <c r="E3" s="52" t="s">
        <v>112</v>
      </c>
      <c r="F3" s="248" t="s">
        <v>113</v>
      </c>
      <c r="G3" s="248"/>
      <c r="H3" s="166">
        <f>Installation!B14</f>
        <v>0</v>
      </c>
      <c r="I3" s="6"/>
    </row>
    <row r="4" spans="1:10" ht="20.100000000000001" customHeight="1" x14ac:dyDescent="0.3">
      <c r="A4" s="6"/>
      <c r="B4" s="6"/>
      <c r="C4" s="6"/>
      <c r="D4" s="8"/>
      <c r="E4" s="52"/>
      <c r="F4" s="90"/>
      <c r="G4" s="90" t="s">
        <v>114</v>
      </c>
      <c r="H4" s="165">
        <f>Installation!D14</f>
        <v>0</v>
      </c>
      <c r="I4" s="6"/>
    </row>
    <row r="5" spans="1:10" x14ac:dyDescent="0.3">
      <c r="A5" s="96"/>
      <c r="B5" s="96"/>
      <c r="C5" s="3"/>
      <c r="D5" s="3"/>
      <c r="E5" s="3"/>
      <c r="F5" s="37"/>
      <c r="G5" s="3"/>
      <c r="H5" s="3"/>
      <c r="I5" s="6"/>
      <c r="J5" s="6"/>
    </row>
    <row r="6" spans="1:10" x14ac:dyDescent="0.3">
      <c r="A6" s="146" t="s">
        <v>57</v>
      </c>
      <c r="B6" s="146" t="s">
        <v>115</v>
      </c>
      <c r="C6" s="38"/>
      <c r="D6" s="39" t="s">
        <v>116</v>
      </c>
      <c r="E6" s="39" t="s">
        <v>117</v>
      </c>
      <c r="F6" s="40" t="s">
        <v>118</v>
      </c>
      <c r="G6" s="41" t="s">
        <v>119</v>
      </c>
      <c r="H6" s="41" t="s">
        <v>120</v>
      </c>
      <c r="I6" s="6"/>
      <c r="J6" s="6"/>
    </row>
    <row r="7" spans="1:10" x14ac:dyDescent="0.3">
      <c r="A7" s="146">
        <f>Installation!C31</f>
        <v>0</v>
      </c>
      <c r="B7" s="146" t="str" cm="1">
        <f t="array" ref="B7">_xlfn.IFS(ISBLANK(Installation!C29),"0",Installation!C29="EMS_03","3",Installation!C29="EMS_05","5",TRUE,"1")</f>
        <v>0</v>
      </c>
      <c r="C7" s="42">
        <v>0</v>
      </c>
      <c r="D7" s="43" t="e">
        <f>VLOOKUP(A7,filtres!A$2:I$101,2,FALSE)</f>
        <v>#N/A</v>
      </c>
      <c r="E7" s="43" t="e">
        <f>VLOOKUP(D7,filtres!B$2:I$101,2,FALSE)</f>
        <v>#N/A</v>
      </c>
      <c r="F7" s="44">
        <f>Installation!C30*B7</f>
        <v>0</v>
      </c>
      <c r="G7" s="45" t="e">
        <f>VLOOKUP(D7,filtres!B$2:I$101,7,FALSE)</f>
        <v>#N/A</v>
      </c>
      <c r="H7" s="68" t="e">
        <f t="shared" ref="H7:H12" si="0">F7*G7</f>
        <v>#N/A</v>
      </c>
      <c r="I7" s="6"/>
      <c r="J7" s="6"/>
    </row>
    <row r="8" spans="1:10" x14ac:dyDescent="0.3">
      <c r="A8" s="146" t="str">
        <f>Installation!C35</f>
        <v>BB DGD 50-5µm</v>
      </c>
      <c r="B8" s="146" t="str" cm="1">
        <f t="array" ref="B8">_xlfn.IFS(ISBLANK(Installation!C33),"0",Installation!C33="EMS_03","3",Installation!C33="EMS_05","5",TRUE,"1")</f>
        <v>1</v>
      </c>
      <c r="C8" s="42">
        <v>1</v>
      </c>
      <c r="D8" s="43" t="str">
        <f>VLOOKUP(A8,filtres!A$2:I$101,2,FALSE)</f>
        <v>FILDGD20BB505</v>
      </c>
      <c r="E8" s="43" t="str">
        <f>VLOOKUP(D8,filtres!B$2:I$101,2,FALSE)</f>
        <v>Pentair DGD 20" Big Blue 50-5µm (73070)</v>
      </c>
      <c r="F8" s="44">
        <f>Installation!C34*B8</f>
        <v>2</v>
      </c>
      <c r="G8" s="45">
        <f>VLOOKUP(D8,filtres!B$2:I$101,7,FALSE)</f>
        <v>17.84</v>
      </c>
      <c r="H8" s="68">
        <f t="shared" si="0"/>
        <v>35.68</v>
      </c>
      <c r="I8" s="6"/>
      <c r="J8" s="6"/>
    </row>
    <row r="9" spans="1:10" x14ac:dyDescent="0.3">
      <c r="A9" s="146" t="str">
        <f>Installation!C39</f>
        <v>5µm nominal</v>
      </c>
      <c r="B9" s="146" t="str" cm="1">
        <f t="array" ref="B9">_xlfn.IFS(ISBLANK(Installation!C37),"0",Installation!C37="EMS_03","3",Installation!C37="EMS_05","5",TRUE,"1")</f>
        <v>1</v>
      </c>
      <c r="C9" s="42">
        <v>2</v>
      </c>
      <c r="D9" s="43" t="str">
        <f>VLOOKUP(A9,filtres!A$2:I$101,2,FALSE)</f>
        <v>FILNOM205</v>
      </c>
      <c r="E9" s="43" t="str">
        <f>VLOOKUP(D9,filtres!B$2:I$101,2,FALSE)</f>
        <v>KlariSpunGA Crystal 20" 5µm DOE (nominal) (97206)</v>
      </c>
      <c r="F9" s="44">
        <f>Installation!C38*B9</f>
        <v>2</v>
      </c>
      <c r="G9" s="45">
        <f>VLOOKUP(D9,filtres!B$2:I$101,7,FALSE)</f>
        <v>3.97</v>
      </c>
      <c r="H9" s="68">
        <f t="shared" si="0"/>
        <v>7.94</v>
      </c>
      <c r="I9" s="6"/>
      <c r="J9" s="6"/>
    </row>
    <row r="10" spans="1:10" x14ac:dyDescent="0.3">
      <c r="A10" s="146">
        <f>Installation!H31</f>
        <v>0</v>
      </c>
      <c r="B10" s="146" t="str" cm="1">
        <f t="array" ref="B10">_xlfn.IFS(ISBLANK(Installation!H29),"0",Installation!H29="EMS_03","3",Installation!H29="EMS_05","5",TRUE,"1")</f>
        <v>0</v>
      </c>
      <c r="C10" s="42">
        <v>3</v>
      </c>
      <c r="D10" s="43" t="e">
        <f>VLOOKUP(A10,filtres!A$2:I$101,2,FALSE)</f>
        <v>#N/A</v>
      </c>
      <c r="E10" s="43" t="e">
        <f>VLOOKUP(D10,filtres!B$2:I$101,2,FALSE)</f>
        <v>#N/A</v>
      </c>
      <c r="F10" s="44">
        <f>Installation!H30*B10</f>
        <v>0</v>
      </c>
      <c r="G10" s="45" t="e">
        <f>VLOOKUP(D10,filtres!B$2:I$101,7,FALSE)</f>
        <v>#N/A</v>
      </c>
      <c r="H10" s="68" t="e">
        <f t="shared" si="0"/>
        <v>#N/A</v>
      </c>
      <c r="I10" s="6"/>
      <c r="J10" s="6"/>
    </row>
    <row r="11" spans="1:10" x14ac:dyDescent="0.3">
      <c r="A11" s="146" t="str">
        <f>Installation!H35</f>
        <v>1 µm absolu</v>
      </c>
      <c r="B11" s="146" t="str" cm="1">
        <f t="array" ref="B11">_xlfn.IFS(ISBLANK(Installation!H33),"0",Installation!H33="EMS_03","3",Installation!H33="EMS_05","5",TRUE,"1")</f>
        <v>1</v>
      </c>
      <c r="C11" s="42">
        <v>4</v>
      </c>
      <c r="D11" s="43" t="str">
        <f>VLOOKUP(A11,filtres!A$2:I$101,2,FALSE)</f>
        <v>FILABS201</v>
      </c>
      <c r="E11" s="43" t="str">
        <f>VLOOKUP(D11,filtres!B$2:I$101,2,FALSE)</f>
        <v>KlariSpunGA Excel 20'' 1µm DOE EPDM (absolu) (97306)</v>
      </c>
      <c r="F11" s="44">
        <f>Installation!H34*B11</f>
        <v>2</v>
      </c>
      <c r="G11" s="45">
        <f>VLOOKUP(D11,filtres!B$2:I$101,7,FALSE)</f>
        <v>22.29</v>
      </c>
      <c r="H11" s="68">
        <f t="shared" si="0"/>
        <v>44.58</v>
      </c>
      <c r="I11" s="6"/>
      <c r="J11" s="6"/>
    </row>
    <row r="12" spans="1:10" x14ac:dyDescent="0.3">
      <c r="A12" s="146" t="s">
        <v>121</v>
      </c>
      <c r="B12" s="146">
        <f>Installation!H41</f>
        <v>1</v>
      </c>
      <c r="C12" s="42" t="s">
        <v>122</v>
      </c>
      <c r="D12" s="43" t="str">
        <f>VLOOKUP(A12,filtres!A$2:I$101,2,FALSE)</f>
        <v>FILBOU2002B-7S</v>
      </c>
      <c r="E12" s="43" t="str">
        <f>VLOOKUP(D12,filtres!B$2:I$101,2,FALSE)</f>
        <v>EfilPore PESGA 20" 0,2µm abs. Code 7S grade bio (97005) 2x226+baïonnette</v>
      </c>
      <c r="F12" s="44">
        <f>Installation!H41</f>
        <v>1</v>
      </c>
      <c r="G12" s="45">
        <f>VLOOKUP(D12,filtres!B$2:I$101,7,FALSE)</f>
        <v>194.75</v>
      </c>
      <c r="H12" s="68">
        <f t="shared" si="0"/>
        <v>194.75</v>
      </c>
      <c r="I12" s="6"/>
      <c r="J12" s="6"/>
    </row>
    <row r="13" spans="1:10" x14ac:dyDescent="0.3">
      <c r="A13" s="96"/>
      <c r="B13" s="96"/>
      <c r="C13" s="3"/>
      <c r="D13" s="43"/>
      <c r="E13" s="43"/>
      <c r="F13" s="44"/>
      <c r="G13" s="45"/>
      <c r="H13" s="68"/>
      <c r="I13" s="6"/>
      <c r="J13" s="6"/>
    </row>
    <row r="14" spans="1:10" x14ac:dyDescent="0.3">
      <c r="A14" s="46"/>
      <c r="B14" s="46"/>
      <c r="C14" s="246" t="s">
        <v>123</v>
      </c>
      <c r="D14" s="43" t="s">
        <v>124</v>
      </c>
      <c r="E14" s="43" t="str">
        <f>VLOOKUP(D14,filtres!B$2:I$101,2,FALSE)</f>
        <v>Réactif Testomat TH (dureté) 2025 - 500 ml</v>
      </c>
      <c r="F14" s="44">
        <f>(IF(OR(Installation!B46="STD (100.097) =&gt; TH",Installation!B46="THCL (100.282) =&gt; TH+CLT",Installation!B46="STD SelfClean (100.372) =&gt; TH"),1,0))+(IF(OR(Installation!G37="STD (100.097) =&gt; TH",Installation!G37="THCL (100.282) =&gt; TH+CLT",Installation!G37="STD SelfClean (100.372) =&gt; TH"),1,0))</f>
        <v>1</v>
      </c>
      <c r="G14" s="45">
        <f>VLOOKUP(D14,filtres!B$2:I$101,7,FALSE)</f>
        <v>94.044000000000011</v>
      </c>
      <c r="H14" s="68">
        <f t="shared" ref="H14:H32" si="1">F14*G14</f>
        <v>94.044000000000011</v>
      </c>
      <c r="I14" s="6"/>
      <c r="J14" s="6"/>
    </row>
    <row r="15" spans="1:10" x14ac:dyDescent="0.3">
      <c r="A15" s="46"/>
      <c r="B15" s="46"/>
      <c r="C15" s="246"/>
      <c r="D15" s="43" t="s">
        <v>125</v>
      </c>
      <c r="E15" s="43" t="str">
        <f>VLOOKUP(D15,filtres!B$2:I$101,2,FALSE)</f>
        <v>Kit Réactifs Testomat CL A-B-C (total) pour 1200 analyses</v>
      </c>
      <c r="F15" s="44">
        <f>(IF(OR(Installation!B46="THCL (100.282) =&gt; TH+CLT",Installation!B46="CLT SelfClean (100.247) =&gt; CLT"),1,0))+(IF(OR(Installation!G37="THCL (100.282) =&gt; TH+CLT",Installation!G37="CLT SelfClean (100.247) =&gt; CLT"),1,0))</f>
        <v>0</v>
      </c>
      <c r="G15" s="45">
        <f>VLOOKUP(D15,filtres!B$2:I$101,7,FALSE)</f>
        <v>134.64000000000001</v>
      </c>
      <c r="H15" s="68">
        <f t="shared" si="1"/>
        <v>0</v>
      </c>
      <c r="I15" s="6"/>
      <c r="J15" s="6"/>
    </row>
    <row r="16" spans="1:10" x14ac:dyDescent="0.3">
      <c r="A16" s="46"/>
      <c r="B16" s="46"/>
      <c r="C16" s="246"/>
      <c r="D16" s="43" t="s">
        <v>126</v>
      </c>
      <c r="E16" s="43" t="str">
        <f>VLOOKUP(D16,filtres!B$2:I$101,2,FALSE)</f>
        <v>Réactif Nettoyant/Désinfectant SelfClean pour Testomat 2000 (500ml)</v>
      </c>
      <c r="F16" s="44">
        <f>(IF(OR(Installation!B46="STD SelfClean (100.372) =&gt; TH",Installation!B46="CLT SelfClean (100.247) =&gt; CLT"),1,0))+(IF(OR(Installation!G37="STD SelfClean (100.372) =&gt; TH",Installation!G37="CLT SelfClean (100.247) =&gt; CLT"),1,0))</f>
        <v>0</v>
      </c>
      <c r="G16" s="45">
        <f>VLOOKUP(D16,filtres!B$2:I$101,7,FALSE)</f>
        <v>63.24</v>
      </c>
      <c r="H16" s="68">
        <f t="shared" si="1"/>
        <v>0</v>
      </c>
      <c r="I16" s="6"/>
      <c r="J16" s="6"/>
    </row>
    <row r="17" spans="1:10" x14ac:dyDescent="0.3">
      <c r="A17" s="46"/>
      <c r="B17" s="46"/>
      <c r="C17" s="246"/>
      <c r="D17" s="43" t="s">
        <v>127</v>
      </c>
      <c r="E17" s="43" t="str">
        <f>VLOOKUP(D17,filtres!B$2:I$101,2,FALSE)</f>
        <v>Kit analyse dureté TH flacon unique 20ml pour eau de réseau (1goutte = 1°F)</v>
      </c>
      <c r="F17" s="44">
        <f>IF(Installation!C54="OUI",1,0)</f>
        <v>1</v>
      </c>
      <c r="G17" s="45">
        <f>VLOOKUP(D17,filtres!B$2:I$101,7,FALSE)</f>
        <v>14.985999999999999</v>
      </c>
      <c r="H17" s="68">
        <f t="shared" si="1"/>
        <v>14.985999999999999</v>
      </c>
      <c r="I17" s="6"/>
      <c r="J17" s="6"/>
    </row>
    <row r="18" spans="1:10" x14ac:dyDescent="0.3">
      <c r="A18" s="46"/>
      <c r="B18" s="46"/>
      <c r="C18" s="246"/>
      <c r="D18" s="43" t="s">
        <v>128</v>
      </c>
      <c r="E18" s="43" t="str">
        <f>VLOOKUP(D18,filtres!B$2:I$101,2,FALSE)</f>
        <v>Test colorimétrique VISOCOLOR HE Chlore pour concentrations faibles (160 tests) / 920015</v>
      </c>
      <c r="F18" s="44">
        <f>IF(Installation!C55="OUI",1,0)</f>
        <v>1</v>
      </c>
      <c r="G18" s="45">
        <f>VLOOKUP(D18,filtres!B$2:I$101,7,FALSE)</f>
        <v>125.51</v>
      </c>
      <c r="H18" s="68">
        <f t="shared" si="1"/>
        <v>125.51</v>
      </c>
      <c r="I18" s="6"/>
      <c r="J18" s="6"/>
    </row>
    <row r="19" spans="1:10" x14ac:dyDescent="0.3">
      <c r="A19" s="46"/>
      <c r="B19" s="46"/>
      <c r="C19" s="246"/>
      <c r="D19" s="43" t="s">
        <v>129</v>
      </c>
      <c r="E19" s="43" t="str">
        <f>VLOOKUP(D19,filtres!B$2:I$101,2,FALSE)</f>
        <v>Test Quantofix Peroxyde 100 (100 languettes test semi-quantitatives) / 91312</v>
      </c>
      <c r="F19" s="44">
        <f>IF(Installation!C58="OUI",1,0)</f>
        <v>1</v>
      </c>
      <c r="G19" s="45">
        <f>VLOOKUP(D19,filtres!B$2:I$101,7,FALSE)</f>
        <v>32.67</v>
      </c>
      <c r="H19" s="68">
        <f t="shared" si="1"/>
        <v>32.67</v>
      </c>
      <c r="I19" s="6"/>
      <c r="J19" s="6"/>
    </row>
    <row r="20" spans="1:10" x14ac:dyDescent="0.3">
      <c r="A20" s="46"/>
      <c r="B20" s="46"/>
      <c r="C20" s="246"/>
      <c r="D20" s="43" t="s">
        <v>130</v>
      </c>
      <c r="E20" s="43" t="str">
        <f>VLOOKUP(D20,filtres!B$2:I$101,2,FALSE)</f>
        <v>Dialox Active 5L ref. 104149 (Désinfectant acide péracétique 1%)</v>
      </c>
      <c r="F20" s="44">
        <f>IF(Installation!C57="OUI",1,0)</f>
        <v>1</v>
      </c>
      <c r="G20" s="45">
        <f>VLOOKUP(D20,filtres!B$2:I$101,7,FALSE)</f>
        <v>77.688000000000002</v>
      </c>
      <c r="H20" s="68">
        <f t="shared" si="1"/>
        <v>77.688000000000002</v>
      </c>
      <c r="I20" s="6"/>
      <c r="J20" s="6"/>
    </row>
    <row r="21" spans="1:10" x14ac:dyDescent="0.3">
      <c r="A21" s="3"/>
      <c r="B21" s="3"/>
      <c r="C21" s="3"/>
      <c r="D21" s="43"/>
      <c r="E21" s="43"/>
      <c r="F21" s="44"/>
      <c r="G21" s="45"/>
      <c r="H21" s="68"/>
      <c r="I21" s="6"/>
      <c r="J21" s="6"/>
    </row>
    <row r="22" spans="1:10" x14ac:dyDescent="0.3">
      <c r="A22" s="3"/>
      <c r="B22" s="3"/>
      <c r="C22" s="247"/>
      <c r="D22" s="43" t="s">
        <v>131</v>
      </c>
      <c r="E22" s="43" t="str">
        <f>VLOOKUP(D22,filtres!B$2:I$101,2,FALSE)</f>
        <v>Colonne lumineuse à LED feu fixe R/J/V 24 V série SL7</v>
      </c>
      <c r="F22" s="44">
        <f>IF(Installation!H50="OUI",Installation!I50,0)</f>
        <v>0</v>
      </c>
      <c r="G22" s="45">
        <f>VLOOKUP(D22,filtres!B$2:I$101,7,FALSE)</f>
        <v>235.1</v>
      </c>
      <c r="H22" s="68">
        <f t="shared" si="1"/>
        <v>0</v>
      </c>
      <c r="I22" s="6"/>
      <c r="J22" s="6"/>
    </row>
    <row r="23" spans="1:10" x14ac:dyDescent="0.3">
      <c r="A23" s="3"/>
      <c r="B23" s="3"/>
      <c r="C23" s="247"/>
      <c r="D23" s="43" t="s">
        <v>132</v>
      </c>
      <c r="E23" s="43" t="str">
        <f>VLOOKUP(D23,filtres!B$2:I$101,2,FALSE)</f>
        <v>LED flash fixe Bleu pour colonne lumineuse 24 V série SL7</v>
      </c>
      <c r="F23" s="44">
        <f>IF(Installation!H52="OUI",Installation!I51,0)</f>
        <v>0</v>
      </c>
      <c r="G23" s="45">
        <f>VLOOKUP(D23,filtres!B$2:I$101,7,FALSE)</f>
        <v>63.5</v>
      </c>
      <c r="H23" s="68">
        <f t="shared" ref="H23:H26" si="2">F23*G23</f>
        <v>0</v>
      </c>
      <c r="I23" s="6"/>
      <c r="J23" s="6"/>
    </row>
    <row r="24" spans="1:10" x14ac:dyDescent="0.3">
      <c r="A24" s="3"/>
      <c r="B24" s="3"/>
      <c r="C24" s="247"/>
      <c r="D24" s="43" t="s">
        <v>133</v>
      </c>
      <c r="E24" s="43" t="s">
        <v>134</v>
      </c>
      <c r="F24" s="44">
        <f>IF(Installation!H52="OUI",Installation!I52,0)</f>
        <v>0</v>
      </c>
      <c r="G24" s="45">
        <f>VLOOKUP(D24,filtres!B$2:I$101,7,FALSE)</f>
        <v>53.81</v>
      </c>
      <c r="H24" s="68">
        <f t="shared" si="2"/>
        <v>0</v>
      </c>
      <c r="I24" s="6"/>
      <c r="J24" s="6"/>
    </row>
    <row r="25" spans="1:10" x14ac:dyDescent="0.3">
      <c r="A25" s="3"/>
      <c r="B25" s="3"/>
      <c r="C25" s="247"/>
      <c r="D25" s="47" t="s">
        <v>135</v>
      </c>
      <c r="E25" s="43" t="str">
        <f>VLOOKUP(D25,filtres!B$2:I$101,2,FALSE)</f>
        <v>Système Ares SMS</v>
      </c>
      <c r="F25" s="44">
        <f>IF(Installation!H53="OUI",Installation!I53,0)</f>
        <v>0</v>
      </c>
      <c r="G25" s="45">
        <f>VLOOKUP(D25,filtres!B$2:I$101,7,FALSE)</f>
        <v>394.11919999999998</v>
      </c>
      <c r="H25" s="69">
        <f t="shared" si="2"/>
        <v>0</v>
      </c>
      <c r="I25" s="6"/>
      <c r="J25" s="6"/>
    </row>
    <row r="26" spans="1:10" x14ac:dyDescent="0.3">
      <c r="A26" s="3"/>
      <c r="B26" s="3"/>
      <c r="C26" s="247"/>
      <c r="D26" s="47" t="s">
        <v>136</v>
      </c>
      <c r="E26" s="43" t="s">
        <v>137</v>
      </c>
      <c r="F26" s="44">
        <f>IF(Installation!H54="OUI",Installation!I54,0)</f>
        <v>0</v>
      </c>
      <c r="G26" s="45">
        <f>VLOOKUP(D26,filtres!B$2:I$101,7,FALSE)</f>
        <v>18.39</v>
      </c>
      <c r="H26" s="69">
        <f t="shared" si="2"/>
        <v>0</v>
      </c>
      <c r="I26" s="6"/>
      <c r="J26" s="6"/>
    </row>
    <row r="27" spans="1:10" x14ac:dyDescent="0.3">
      <c r="A27" s="3"/>
      <c r="B27" s="3"/>
      <c r="C27" s="247"/>
      <c r="D27" s="47" t="s">
        <v>138</v>
      </c>
      <c r="E27" s="43" t="str">
        <f>VLOOKUP(D27,filtres!B$2:I$101,2,FALSE)</f>
        <v>Raccord d'alimentation inox Walther femelle douille cannelée 9mm (générateur)</v>
      </c>
      <c r="F27" s="44">
        <f>IF(Installation!H54="OUI",Installation!I55,0)</f>
        <v>0</v>
      </c>
      <c r="G27" s="45">
        <f>VLOOKUP(D27,filtres!B$2:I$101,7,FALSE)</f>
        <v>173.42000000000002</v>
      </c>
      <c r="H27" s="69">
        <f t="shared" si="1"/>
        <v>0</v>
      </c>
      <c r="I27" s="6"/>
      <c r="J27" s="6"/>
    </row>
    <row r="28" spans="1:10" x14ac:dyDescent="0.3">
      <c r="A28" s="3"/>
      <c r="B28" s="3"/>
      <c r="C28" s="149"/>
      <c r="D28" s="47"/>
      <c r="E28" s="43"/>
      <c r="F28" s="44"/>
      <c r="G28" s="45"/>
      <c r="H28" s="69"/>
      <c r="I28" s="6"/>
      <c r="J28" s="6"/>
    </row>
    <row r="29" spans="1:10" x14ac:dyDescent="0.3">
      <c r="A29" s="3"/>
      <c r="B29" s="3"/>
      <c r="C29" s="252" t="s">
        <v>139</v>
      </c>
      <c r="D29" s="47" t="s">
        <v>140</v>
      </c>
      <c r="E29" s="43" t="str">
        <f>VLOOKUP(D29,filtres!B$2:I$101,2,FALSE)</f>
        <v>Tuyau silicone OD 14.4x3.2 blanc (le m., par couronne de 25 m) (CeCon 3000)</v>
      </c>
      <c r="F29" s="44">
        <f>Installation!D62</f>
        <v>0</v>
      </c>
      <c r="G29" s="45">
        <f>VLOOKUP(D29,filtres!B$2:I$101,7,FALSE)</f>
        <v>17.191650000000003</v>
      </c>
      <c r="H29" s="69">
        <f t="shared" si="1"/>
        <v>0</v>
      </c>
      <c r="I29" s="6"/>
      <c r="J29" s="6"/>
    </row>
    <row r="30" spans="1:10" x14ac:dyDescent="0.3">
      <c r="A30" s="3"/>
      <c r="B30" s="3"/>
      <c r="C30" s="253"/>
      <c r="D30" s="47" t="s">
        <v>141</v>
      </c>
      <c r="E30" s="43" t="str">
        <f>VLOOKUP(D30,filtres!B$2:I$101,2,FALSE)</f>
        <v>Connecteur en T, PP 7,9 mm (CeCon 3000)</v>
      </c>
      <c r="F30" s="44">
        <f>Installation!D63</f>
        <v>0</v>
      </c>
      <c r="G30" s="45">
        <f>VLOOKUP(D30,filtres!B$2:I$101,7,FALSE)</f>
        <v>2.4301305000000002</v>
      </c>
      <c r="H30" s="69">
        <f t="shared" si="1"/>
        <v>0</v>
      </c>
      <c r="I30" s="6"/>
      <c r="J30" s="6"/>
    </row>
    <row r="31" spans="1:10" x14ac:dyDescent="0.3">
      <c r="A31" s="3"/>
      <c r="B31" s="3"/>
      <c r="C31" s="253"/>
      <c r="D31" s="47" t="s">
        <v>142</v>
      </c>
      <c r="E31" s="43" t="str">
        <f>VLOOKUP(D31,filtres!B$2:I$101,2,FALSE)</f>
        <v>Clip 16.5, inox (CeCon 3000)</v>
      </c>
      <c r="F31" s="44">
        <f>Installation!D64</f>
        <v>0</v>
      </c>
      <c r="G31" s="45">
        <f>VLOOKUP(D31,filtres!B$2:I$101,7,FALSE)</f>
        <v>1.8742499999999997</v>
      </c>
      <c r="H31" s="69">
        <f t="shared" si="1"/>
        <v>0</v>
      </c>
      <c r="I31" s="6"/>
      <c r="J31" s="6"/>
    </row>
    <row r="32" spans="1:10" x14ac:dyDescent="0.3">
      <c r="A32" s="3"/>
      <c r="B32" s="3"/>
      <c r="C32" s="254"/>
      <c r="D32" s="47" t="s">
        <v>143</v>
      </c>
      <c r="E32" s="43" t="str">
        <f>VLOOKUP(D32,filtres!B$2:I$101,2,FALSE)</f>
        <v>DN50 F pour tuyau 8 mm (raccords BIB / CeCon 3000)</v>
      </c>
      <c r="F32" s="44">
        <f>Installation!D65</f>
        <v>0</v>
      </c>
      <c r="G32" s="45">
        <f>VLOOKUP(D32,filtres!B$2:I$101,7,FALSE)</f>
        <v>66.739999999999995</v>
      </c>
      <c r="H32" s="69">
        <f t="shared" si="1"/>
        <v>0</v>
      </c>
      <c r="I32" s="6"/>
      <c r="J32" s="6"/>
    </row>
    <row r="33" spans="1:10" s="5" customFormat="1" ht="20.100000000000001" customHeight="1" x14ac:dyDescent="0.3">
      <c r="A33" s="9"/>
      <c r="B33" s="9"/>
      <c r="C33" s="9"/>
      <c r="D33" s="9"/>
      <c r="E33" s="9"/>
      <c r="F33" s="48"/>
      <c r="G33" s="10" t="s">
        <v>144</v>
      </c>
      <c r="H33" s="67" t="e">
        <f>SUM(H7:H32)</f>
        <v>#N/A</v>
      </c>
      <c r="I33" s="7"/>
      <c r="J33" s="7"/>
    </row>
    <row r="34" spans="1:10" x14ac:dyDescent="0.3">
      <c r="A34" s="3"/>
      <c r="B34" s="3"/>
      <c r="C34" s="3"/>
      <c r="D34" s="3"/>
      <c r="E34" s="3"/>
      <c r="F34" s="49"/>
      <c r="G34" s="3"/>
      <c r="H34" s="3"/>
      <c r="I34" s="6"/>
      <c r="J34" s="6"/>
    </row>
    <row r="35" spans="1:10" x14ac:dyDescent="0.3">
      <c r="A35" s="3"/>
      <c r="B35" s="3"/>
      <c r="C35" s="3"/>
      <c r="D35" s="249" t="s">
        <v>145</v>
      </c>
      <c r="E35" s="250"/>
      <c r="F35" s="250"/>
      <c r="G35" s="251"/>
      <c r="H35" s="3"/>
      <c r="I35" s="6"/>
      <c r="J35" s="6"/>
    </row>
    <row r="36" spans="1:10" x14ac:dyDescent="0.3">
      <c r="A36" s="3"/>
      <c r="B36" s="3"/>
      <c r="C36" s="3"/>
      <c r="D36" s="73"/>
      <c r="E36" s="74"/>
      <c r="F36" s="75"/>
      <c r="G36" s="76"/>
      <c r="H36" s="3"/>
      <c r="I36" s="6"/>
      <c r="J36" s="6"/>
    </row>
    <row r="37" spans="1:10" x14ac:dyDescent="0.3">
      <c r="A37" s="3"/>
      <c r="B37" s="3"/>
      <c r="C37" s="3"/>
      <c r="D37" s="73"/>
      <c r="E37" s="74"/>
      <c r="F37" s="75"/>
      <c r="G37" s="76"/>
      <c r="H37" s="3"/>
      <c r="I37" s="6"/>
      <c r="J37" s="6"/>
    </row>
    <row r="38" spans="1:10" x14ac:dyDescent="0.3">
      <c r="A38" s="3"/>
      <c r="B38" s="3"/>
      <c r="C38" s="3"/>
      <c r="D38" s="73"/>
      <c r="E38" s="74"/>
      <c r="F38" s="77"/>
      <c r="G38" s="76"/>
      <c r="H38" s="3"/>
      <c r="I38" s="6"/>
      <c r="J38" s="6"/>
    </row>
    <row r="39" spans="1:10" x14ac:dyDescent="0.3">
      <c r="A39" s="6"/>
      <c r="B39" s="6"/>
      <c r="C39" s="6"/>
      <c r="D39" s="78"/>
      <c r="E39" s="79"/>
      <c r="F39" s="80"/>
      <c r="G39" s="81"/>
      <c r="H39" s="6"/>
      <c r="I39" s="6"/>
      <c r="J39" s="6"/>
    </row>
    <row r="40" spans="1:10" x14ac:dyDescent="0.3">
      <c r="A40" s="6"/>
      <c r="B40" s="6"/>
      <c r="C40" s="6"/>
      <c r="D40" s="78"/>
      <c r="E40" s="79"/>
      <c r="F40" s="80"/>
      <c r="G40" s="81"/>
      <c r="H40" s="6"/>
      <c r="I40" s="6"/>
      <c r="J40" s="6"/>
    </row>
    <row r="41" spans="1:10" x14ac:dyDescent="0.3">
      <c r="D41" s="82"/>
      <c r="E41" s="83"/>
      <c r="F41" s="84"/>
      <c r="G41" s="85"/>
    </row>
    <row r="42" spans="1:10" x14ac:dyDescent="0.3">
      <c r="D42" s="82"/>
      <c r="E42" s="83"/>
      <c r="F42" s="84"/>
      <c r="G42" s="85"/>
    </row>
    <row r="43" spans="1:10" x14ac:dyDescent="0.3">
      <c r="D43" s="82"/>
      <c r="E43" s="83"/>
      <c r="F43" s="84"/>
      <c r="G43" s="85"/>
    </row>
    <row r="44" spans="1:10" x14ac:dyDescent="0.3">
      <c r="D44" s="82"/>
      <c r="E44" s="83"/>
      <c r="F44" s="84"/>
      <c r="G44" s="85"/>
    </row>
    <row r="45" spans="1:10" x14ac:dyDescent="0.3">
      <c r="D45" s="86"/>
      <c r="E45" s="87"/>
      <c r="F45" s="88"/>
      <c r="G45" s="89"/>
    </row>
  </sheetData>
  <sheetProtection sheet="1" objects="1" scenarios="1"/>
  <mergeCells count="6">
    <mergeCell ref="G1:H1"/>
    <mergeCell ref="C14:C20"/>
    <mergeCell ref="C22:C27"/>
    <mergeCell ref="F3:G3"/>
    <mergeCell ref="D35:G35"/>
    <mergeCell ref="C29:C32"/>
  </mergeCells>
  <conditionalFormatting sqref="F7:F34">
    <cfRule type="cellIs" dxfId="1" priority="1" operator="greaterThan">
      <formula>0</formula>
    </cfRule>
  </conditionalFormatting>
  <conditionalFormatting sqref="F36:F43">
    <cfRule type="cellIs" dxfId="0" priority="2" operator="greaterThan">
      <formula>0</formula>
    </cfRule>
  </conditionalFormatting>
  <printOptions horizontalCentered="1"/>
  <pageMargins left="0.31496062992125984" right="0.31496062992125984" top="0.55118110236220474" bottom="0.55118110236220474" header="0.31496062992125984" footer="0.31496062992125984"/>
  <pageSetup paperSize="9"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FE13-FFD5-4A72-9EA4-9B31DB78D533}">
  <dimension ref="A1:H41"/>
  <sheetViews>
    <sheetView topLeftCell="A5" workbookViewId="0">
      <selection activeCell="C25" sqref="C25"/>
    </sheetView>
  </sheetViews>
  <sheetFormatPr baseColWidth="10" defaultColWidth="11.44140625" defaultRowHeight="13.8" x14ac:dyDescent="0.25"/>
  <cols>
    <col min="1" max="1" width="2.88671875" style="14" customWidth="1"/>
    <col min="2" max="2" width="59.5546875" style="14" customWidth="1"/>
    <col min="3" max="3" width="21.6640625" style="14" customWidth="1"/>
    <col min="4" max="4" width="6" style="21" customWidth="1"/>
    <col min="5" max="5" width="5.5546875" style="14" customWidth="1"/>
    <col min="6" max="6" width="11.44140625" style="14"/>
    <col min="7" max="7" width="13.109375" style="14" customWidth="1"/>
    <col min="8" max="16384" width="11.44140625" style="14"/>
  </cols>
  <sheetData>
    <row r="1" spans="1:8" ht="15" x14ac:dyDescent="0.25">
      <c r="B1" s="15"/>
      <c r="C1" s="15"/>
      <c r="D1" s="19"/>
    </row>
    <row r="2" spans="1:8" ht="27.6" x14ac:dyDescent="0.45">
      <c r="B2" s="258" t="s">
        <v>146</v>
      </c>
      <c r="C2" s="258"/>
      <c r="D2" s="258"/>
    </row>
    <row r="3" spans="1:8" ht="27.6" x14ac:dyDescent="0.45">
      <c r="B3" s="16"/>
      <c r="C3" s="258" t="s">
        <v>147</v>
      </c>
      <c r="D3" s="258"/>
    </row>
    <row r="4" spans="1:8" ht="24.6" x14ac:dyDescent="0.4">
      <c r="B4" s="259" t="s">
        <v>148</v>
      </c>
      <c r="C4" s="259"/>
      <c r="D4" s="259"/>
    </row>
    <row r="5" spans="1:8" ht="20.399999999999999" x14ac:dyDescent="0.35">
      <c r="B5" s="17"/>
      <c r="C5" s="17"/>
      <c r="D5" s="20"/>
    </row>
    <row r="6" spans="1:8" ht="17.399999999999999" x14ac:dyDescent="0.25">
      <c r="A6" s="255" t="str">
        <f>Installation!A1</f>
        <v>TTE / FICHE NOUVEAU SITE</v>
      </c>
      <c r="B6" s="256"/>
      <c r="C6" s="256"/>
      <c r="D6" s="257"/>
    </row>
    <row r="7" spans="1:8" ht="9.9" customHeight="1" x14ac:dyDescent="0.25">
      <c r="A7" s="18"/>
      <c r="B7" s="18"/>
      <c r="C7" s="18"/>
      <c r="D7" s="18"/>
    </row>
    <row r="8" spans="1:8" ht="14.1" customHeight="1" x14ac:dyDescent="0.25">
      <c r="A8" s="260">
        <f>Installation!F4</f>
        <v>0</v>
      </c>
      <c r="B8" s="260"/>
      <c r="C8" s="261" t="s">
        <v>149</v>
      </c>
      <c r="D8" s="261"/>
      <c r="E8" s="27"/>
      <c r="F8" s="27"/>
      <c r="G8" s="27"/>
      <c r="H8" s="27"/>
    </row>
    <row r="9" spans="1:8" ht="14.1" customHeight="1" x14ac:dyDescent="0.25">
      <c r="A9" s="26"/>
      <c r="B9" s="26" t="str">
        <f>Installation!F10</f>
        <v>AF</v>
      </c>
      <c r="C9" s="262">
        <f>Installation!H16</f>
        <v>0</v>
      </c>
      <c r="D9" s="262"/>
      <c r="E9" s="27"/>
      <c r="F9" s="27"/>
      <c r="G9" s="27"/>
      <c r="H9" s="27"/>
    </row>
    <row r="10" spans="1:8" ht="14.1" customHeight="1" x14ac:dyDescent="0.25">
      <c r="A10" s="27"/>
      <c r="B10" s="28"/>
      <c r="C10" s="29"/>
      <c r="D10" s="30"/>
      <c r="E10" s="27"/>
      <c r="F10" s="27"/>
      <c r="G10" s="27"/>
      <c r="H10" s="27"/>
    </row>
    <row r="11" spans="1:8" x14ac:dyDescent="0.25">
      <c r="A11" s="27"/>
      <c r="B11" s="53" t="s">
        <v>117</v>
      </c>
      <c r="C11" s="54" t="s">
        <v>150</v>
      </c>
      <c r="D11" s="55" t="s">
        <v>118</v>
      </c>
      <c r="E11" s="27"/>
      <c r="F11" s="65" t="s">
        <v>151</v>
      </c>
      <c r="G11" s="65" t="s">
        <v>120</v>
      </c>
      <c r="H11" s="27"/>
    </row>
    <row r="12" spans="1:8" x14ac:dyDescent="0.25">
      <c r="A12" s="263" t="s">
        <v>152</v>
      </c>
      <c r="B12" s="264"/>
      <c r="C12" s="54"/>
      <c r="D12" s="55"/>
      <c r="E12" s="27"/>
      <c r="F12" s="61"/>
      <c r="G12" s="61"/>
      <c r="H12" s="27"/>
    </row>
    <row r="13" spans="1:8" x14ac:dyDescent="0.25">
      <c r="A13" s="50">
        <v>0</v>
      </c>
      <c r="B13" s="56" t="e">
        <f>VLOOKUP(C13,filtres!B$2:I$101,2,FALSE)</f>
        <v>#N/A</v>
      </c>
      <c r="C13" s="57" t="str" cm="1">
        <f t="array" ref="C13">_xlfn.IFS(ISBLANK(Installation!C29),"n/a",Installation!C29="Coreless","ACS44EX",Installation!C29="Big_Blue","73190",Installation!C29="Standard","73197",Installation!C29="EMS_03","ACS39EX",Installation!C29="EMS_05","ACS44EX",Installation!C29="PCY_27","GK1344PX01",TRUE,"n/a")</f>
        <v>n/a</v>
      </c>
      <c r="D13" s="58">
        <f>Installation!C30</f>
        <v>0</v>
      </c>
      <c r="E13" s="27"/>
      <c r="F13" s="62" t="e">
        <f>VLOOKUP(C13,filtres!B$2:I$101,7,FALSE)</f>
        <v>#N/A</v>
      </c>
      <c r="G13" s="70" t="e">
        <f>D13*F13</f>
        <v>#N/A</v>
      </c>
      <c r="H13" s="27"/>
    </row>
    <row r="14" spans="1:8" x14ac:dyDescent="0.25">
      <c r="A14" s="50">
        <v>1</v>
      </c>
      <c r="B14" s="56" t="str">
        <f>VLOOKUP(C14,filtres!B$2:I$101,2,FALSE)</f>
        <v>Joint torique Buna-N pour carters Big Blue, cartouches &amp; poches (réf 151122)</v>
      </c>
      <c r="C14" s="57" t="str" cm="1">
        <f t="array" ref="C14">_xlfn.IFS(ISBLANK(Installation!C33),"n/a",Installation!C33="Coreless","ACS44EX",Installation!C33="Big_Blue","73190",Installation!C33="Standard","73197",Installation!C33="EMS_03","ACS39EX",Installation!C33="EMS_05","ACS44EX",Installation!C33="PCY_27","GK1344PX01",TRUE,"n/a")</f>
        <v>73190</v>
      </c>
      <c r="D14" s="58">
        <f>Installation!C34</f>
        <v>2</v>
      </c>
      <c r="E14" s="27"/>
      <c r="F14" s="62">
        <f>VLOOKUP(C14,filtres!B$2:I$101,7,FALSE)</f>
        <v>6.66</v>
      </c>
      <c r="G14" s="70">
        <f>D14*F14</f>
        <v>13.32</v>
      </c>
      <c r="H14" s="27"/>
    </row>
    <row r="15" spans="1:8" x14ac:dyDescent="0.25">
      <c r="A15" s="50">
        <v>2</v>
      </c>
      <c r="B15" s="56" t="str">
        <f>VLOOKUP(C15,filtres!B$2:I$101,2,FALSE)</f>
        <v>Joint torique EPDM pour carters Standard &amp; 3G (ref 151120)</v>
      </c>
      <c r="C15" s="57" t="str" cm="1">
        <f t="array" ref="C15">_xlfn.IFS(ISBLANK(Installation!C37),"n/a",Installation!C37="Coreless","ACS44EX",Installation!C37="Big_Blue","73190",Installation!C37="Standard","73197",Installation!C37="EMS_03","ACS39EX",Installation!C37="EMS_05","ACS44EX",Installation!C37="PCY_27","GK1344PX01",TRUE,"n/a")</f>
        <v>73197</v>
      </c>
      <c r="D15" s="58">
        <f>Installation!C38</f>
        <v>2</v>
      </c>
      <c r="E15" s="27"/>
      <c r="F15" s="62">
        <f>VLOOKUP(C15,filtres!B$2:I$101,7,FALSE)</f>
        <v>2.67</v>
      </c>
      <c r="G15" s="70">
        <f>D15*F15</f>
        <v>5.34</v>
      </c>
      <c r="H15" s="27"/>
    </row>
    <row r="16" spans="1:8" x14ac:dyDescent="0.25">
      <c r="A16" s="50">
        <v>3</v>
      </c>
      <c r="B16" s="56" t="e">
        <f>VLOOKUP(C16,filtres!B$2:I$101,2,FALSE)</f>
        <v>#N/A</v>
      </c>
      <c r="C16" s="57" t="str" cm="1">
        <f t="array" ref="C16">_xlfn.IFS(ISBLANK(Installation!H29),"n/a",Installation!H29="Coreless","ACS44EX",Installation!H29="Big_Blue","73190",Installation!H29="Standard","73197",Installation!H29="EMS_03","ACS39EX",Installation!H29="EMS_05","ACS44EX",Installation!H29="PCY_27","GK1344PX01",TRUE,"n/a")</f>
        <v>n/a</v>
      </c>
      <c r="D16" s="58">
        <f>Installation!H30</f>
        <v>0</v>
      </c>
      <c r="E16" s="27"/>
      <c r="F16" s="62" t="e">
        <f>VLOOKUP(C16,filtres!B$2:I$101,7,FALSE)</f>
        <v>#N/A</v>
      </c>
      <c r="G16" s="70" t="e">
        <f>D16*F16</f>
        <v>#N/A</v>
      </c>
      <c r="H16" s="27"/>
    </row>
    <row r="17" spans="1:8" x14ac:dyDescent="0.25">
      <c r="A17" s="50">
        <v>4</v>
      </c>
      <c r="B17" s="56" t="str">
        <f>VLOOKUP(C17,filtres!B$2:I$101,2,FALSE)</f>
        <v>Joint torique EPDM pour carters Standard &amp; 3G (ref 151120)</v>
      </c>
      <c r="C17" s="57" t="str" cm="1">
        <f t="array" ref="C17">_xlfn.IFS(ISBLANK(Installation!H33),"n/a",Installation!H33="Coreless","ACS44EX",Installation!H33="Big_Blue","73190",Installation!H33="Standard","73197",Installation!H33="EMS_03","ACS39EX",Installation!H33="EMS_05","ACS44EX",Installation!H33="PCY_27","GK1344PX01",TRUE,"n/a")</f>
        <v>73197</v>
      </c>
      <c r="D17" s="58">
        <f>Installation!H34</f>
        <v>2</v>
      </c>
      <c r="E17" s="27"/>
      <c r="F17" s="62">
        <f>VLOOKUP(C17,filtres!B$2:I$101,7,FALSE)</f>
        <v>2.67</v>
      </c>
      <c r="G17" s="70">
        <f>D17*F17</f>
        <v>5.34</v>
      </c>
      <c r="H17" s="27"/>
    </row>
    <row r="18" spans="1:8" x14ac:dyDescent="0.25">
      <c r="A18" s="263" t="s">
        <v>153</v>
      </c>
      <c r="B18" s="264"/>
      <c r="C18" s="54"/>
      <c r="D18" s="55"/>
      <c r="E18" s="27"/>
      <c r="F18" s="62"/>
      <c r="G18" s="71"/>
      <c r="H18" s="27"/>
    </row>
    <row r="19" spans="1:8" x14ac:dyDescent="0.25">
      <c r="A19" s="51"/>
      <c r="B19" s="56" t="e">
        <f>VLOOKUP(C19,filtres!B$2:I$101,2,FALSE)</f>
        <v>#N/A</v>
      </c>
      <c r="C19" s="57" t="str">
        <f>IF(Installation!C44="OUI","00370031","n/a")</f>
        <v>n/a</v>
      </c>
      <c r="D19" s="58" t="str">
        <f>IF(Installation!C44="OUI","1","0")</f>
        <v>0</v>
      </c>
      <c r="E19" s="27"/>
      <c r="F19" s="62" t="e">
        <f>VLOOKUP(C19,filtres!B$2:I$101,7,FALSE)</f>
        <v>#N/A</v>
      </c>
      <c r="G19" s="70" t="e">
        <f>D19*F19</f>
        <v>#N/A</v>
      </c>
      <c r="H19" s="27"/>
    </row>
    <row r="20" spans="1:8" x14ac:dyDescent="0.25">
      <c r="A20" s="50">
        <v>1</v>
      </c>
      <c r="B20" s="56" t="str">
        <f>VLOOKUP(C20,filtres!B$2:I$101,2,FALSE)</f>
        <v>Kit entretien annuel pour T2000/ECO (1P)</v>
      </c>
      <c r="C20" s="57" t="str" cm="1">
        <f t="array" ref="C20">_xlfn.IFS(ISBLANK(Installation!B46),"n/a",Installation!B46="STD (100.097) =&gt; TH","040.901",Installation!B46="THCL (100.282) =&gt; TH+CLT","040.904",Installation!B46="STD SelfClean (100.372) =&gt; TH","040.902",Installation!B46="CLT SelfClean (100.247) =&gt; CLT","040.904",TRUE,"n/a")</f>
        <v>040.901</v>
      </c>
      <c r="D20" s="58">
        <f>IF(C20="n/a","0",1)</f>
        <v>1</v>
      </c>
      <c r="E20" s="27"/>
      <c r="F20" s="62">
        <f>VLOOKUP(C20,filtres!B$2:I$101,7,FALSE)</f>
        <v>173.4</v>
      </c>
      <c r="G20" s="70">
        <f>D20*F20</f>
        <v>173.4</v>
      </c>
      <c r="H20" s="27"/>
    </row>
    <row r="21" spans="1:8" x14ac:dyDescent="0.25">
      <c r="A21" s="50">
        <v>2</v>
      </c>
      <c r="B21" s="56" t="e">
        <f>VLOOKUP(C21,filtres!B$2:I$101,2,FALSE)</f>
        <v>#N/A</v>
      </c>
      <c r="C21" s="57" t="str" cm="1">
        <f t="array" ref="C21">_xlfn.IFS(ISBLANK(Installation!G37),"n/a",Installation!G37="STD (100.097) =&gt; TH","040.901",Installation!G37="THCL (100.282) =&gt; TH+CLT","040.904",Installation!G37="STD SelfClean (100.372) =&gt; TH","040.902",Installation!G37="CLT SelfClean (100.247) =&gt; CLT","040.904",TRUE,"n/a")</f>
        <v>n/a</v>
      </c>
      <c r="D21" s="58" t="str">
        <f>IF(C21="n/a","0",1)</f>
        <v>0</v>
      </c>
      <c r="E21" s="27"/>
      <c r="F21" s="62" t="e">
        <f>VLOOKUP(C21,filtres!B$2:I$101,7,FALSE)</f>
        <v>#N/A</v>
      </c>
      <c r="G21" s="70" t="e">
        <f>D21*F21</f>
        <v>#N/A</v>
      </c>
      <c r="H21" s="27"/>
    </row>
    <row r="22" spans="1:8" x14ac:dyDescent="0.25">
      <c r="A22" s="263" t="s">
        <v>154</v>
      </c>
      <c r="B22" s="264"/>
      <c r="C22" s="54"/>
      <c r="D22" s="55"/>
      <c r="E22" s="27"/>
      <c r="F22" s="62"/>
      <c r="G22" s="71"/>
      <c r="H22" s="27"/>
    </row>
    <row r="23" spans="1:8" x14ac:dyDescent="0.25">
      <c r="A23" s="31"/>
      <c r="B23" s="56" t="e">
        <f>VLOOKUP(C23,filtres!B$2:I$101,2,FALSE)</f>
        <v>#N/A</v>
      </c>
      <c r="C23" s="57" t="str">
        <f>IF(ISBLANK(Installation!C50),"n/a","JM05301")</f>
        <v>n/a</v>
      </c>
      <c r="D23" s="58">
        <f>Installation!C50</f>
        <v>0</v>
      </c>
      <c r="E23" s="27"/>
      <c r="F23" s="62" t="e">
        <f>VLOOKUP(C23,filtres!B$2:I$101,7,FALSE)</f>
        <v>#N/A</v>
      </c>
      <c r="G23" s="70" t="e">
        <f>D23*F23</f>
        <v>#N/A</v>
      </c>
      <c r="H23" s="27"/>
    </row>
    <row r="24" spans="1:8" x14ac:dyDescent="0.25">
      <c r="A24" s="31"/>
      <c r="B24" s="56" t="str">
        <f>VLOOKUP(C24,filtres!B$2:I$101,2,FALSE)</f>
        <v>Membrane silicone pour PEMS II, III &amp; VII (DN06) (chaleur)</v>
      </c>
      <c r="C24" s="57" t="str">
        <f>IF(ISBLANK(Installation!C51),"n/a","JM05601")</f>
        <v>JM05601</v>
      </c>
      <c r="D24" s="58">
        <f>Installation!C51</f>
        <v>5</v>
      </c>
      <c r="E24" s="27"/>
      <c r="F24" s="62">
        <f>VLOOKUP(C24,filtres!B$2:I$101,7,FALSE)</f>
        <v>6.8200000000000012</v>
      </c>
      <c r="G24" s="70">
        <f>D24*F24</f>
        <v>34.100000000000009</v>
      </c>
      <c r="H24" s="27"/>
    </row>
    <row r="25" spans="1:8" x14ac:dyDescent="0.25">
      <c r="A25" s="263" t="s">
        <v>155</v>
      </c>
      <c r="B25" s="264"/>
      <c r="C25" s="59"/>
      <c r="D25" s="55"/>
      <c r="E25" s="27"/>
      <c r="F25" s="62"/>
      <c r="G25" s="72"/>
      <c r="H25" s="27"/>
    </row>
    <row r="26" spans="1:8" x14ac:dyDescent="0.25">
      <c r="A26" s="34"/>
      <c r="B26" s="91" t="str">
        <f>VLOOKUP(C26,filtres!B$2:I$101,2,FALSE)</f>
        <v>EfilPore PESGA 20" 0,2µm abs. Code 7S grade bio (97005) 2x226+baïonnette</v>
      </c>
      <c r="C26" s="92" t="str" cm="1">
        <f t="array" ref="C26">_xlfn.IFS(ISBLANK(Installation!H41),"n/a",TRUE,"FILBOU2002B-7S")</f>
        <v>FILBOU2002B-7S</v>
      </c>
      <c r="D26" s="58" t="s">
        <v>156</v>
      </c>
      <c r="E26" s="27"/>
      <c r="F26" s="62"/>
      <c r="G26" s="70"/>
      <c r="H26" s="27"/>
    </row>
    <row r="27" spans="1:8" x14ac:dyDescent="0.25">
      <c r="A27" s="31"/>
      <c r="B27" s="56" t="str">
        <f>VLOOKUP(C27,filtres!B$2:I$101,2,FALSE)</f>
        <v>Joint silicone support cloche carter inox boucle type PLT12</v>
      </c>
      <c r="C27" s="60" t="str" cm="1">
        <f t="array" ref="C27">_xlfn.IFS(ISBLANK(Installation!H41),"n/a",TRUE,"GK1242QL01")</f>
        <v>GK1242QL01</v>
      </c>
      <c r="D27" s="58">
        <f>Installation!H41</f>
        <v>1</v>
      </c>
      <c r="E27" s="27"/>
      <c r="F27" s="62">
        <f>VLOOKUP(C27,filtres!B$2:I$101,7,FALSE)</f>
        <v>22</v>
      </c>
      <c r="G27" s="70">
        <f>D27*F27</f>
        <v>22</v>
      </c>
      <c r="H27" s="27"/>
    </row>
    <row r="28" spans="1:8" x14ac:dyDescent="0.25">
      <c r="A28" s="31"/>
      <c r="B28" s="56" t="str">
        <f>VLOOKUP(C28,filtres!B$2:I$101,2,FALSE)</f>
        <v>Joint silicoene micro clamp d25 pour tube d13.5 évent carter inox 0,2 &gt;&gt;&gt; JCSIL127217</v>
      </c>
      <c r="C28" s="60" t="str" cm="1">
        <f t="array" ref="C28">_xlfn.IFS(OR(ISBLANK(Installation!H41),Installation!H43="OUI"),"n/a",TRUE,"CLP-MICRO-JNT13.5")</f>
        <v>CLP-MICRO-JNT13.5</v>
      </c>
      <c r="D28" s="58">
        <f>IF(OR(Installation!H43="NON",ISBLANK(Installation!H43)),Installation!H41,"0")</f>
        <v>1</v>
      </c>
      <c r="E28" s="27"/>
      <c r="F28" s="62">
        <f>VLOOKUP(C28,filtres!B$2:I$101,7,FALSE)</f>
        <v>11.700000000000001</v>
      </c>
      <c r="G28" s="70">
        <f>D28*F28</f>
        <v>11.700000000000001</v>
      </c>
      <c r="H28" s="27"/>
    </row>
    <row r="29" spans="1:8" x14ac:dyDescent="0.25">
      <c r="A29" s="31"/>
      <c r="B29" s="56" t="e">
        <f>VLOOKUP(C29,filtres!B$2:I$101,2,FALSE)</f>
        <v>#N/A</v>
      </c>
      <c r="C29" s="60" t="str" cm="1">
        <f t="array" ref="C29">_xlfn.IFS(ISBLANK(Installation!H43),"n/a",Installation!H43="NON","n/a",TRUE,"JCSIL254504")</f>
        <v>n/a</v>
      </c>
      <c r="D29" s="58">
        <f>IF(Installation!H43="OUI",Installation!H41,"0")*3</f>
        <v>0</v>
      </c>
      <c r="E29" s="27"/>
      <c r="F29" s="62" t="e">
        <f>VLOOKUP(C29,filtres!B$2:I$101,7,FALSE)</f>
        <v>#N/A</v>
      </c>
      <c r="G29" s="70" t="e">
        <f t="shared" ref="G29:G31" si="0">D29*F29</f>
        <v>#N/A</v>
      </c>
      <c r="H29" s="27"/>
    </row>
    <row r="30" spans="1:8" x14ac:dyDescent="0.25">
      <c r="A30" s="31"/>
      <c r="B30" s="56" t="e">
        <f>VLOOKUP(C30,filtres!B$2:I$101,2,FALSE)</f>
        <v>#N/A</v>
      </c>
      <c r="C30" s="60" t="str" cm="1">
        <f t="array" ref="C30">_xlfn.IFS(ISBLANK(Installation!H43),"n/a",Installation!H43="NON","n/a",TRUE,"JCSIL127217")</f>
        <v>n/a</v>
      </c>
      <c r="D30" s="58">
        <f>IF(Installation!H43="OUI",Installation!H41,"0")*3</f>
        <v>0</v>
      </c>
      <c r="E30" s="27"/>
      <c r="F30" s="62" t="e">
        <f>VLOOKUP(C30,filtres!B$2:I$101,7,FALSE)</f>
        <v>#N/A</v>
      </c>
      <c r="G30" s="70" t="e">
        <f t="shared" si="0"/>
        <v>#N/A</v>
      </c>
      <c r="H30" s="27"/>
    </row>
    <row r="31" spans="1:8" x14ac:dyDescent="0.25">
      <c r="A31" s="35"/>
      <c r="B31" s="56" t="e">
        <f>VLOOKUP(C31,filtres!B$2:I$101,2,FALSE)</f>
        <v>#N/A</v>
      </c>
      <c r="C31" s="60" t="str" cm="1">
        <f t="array" ref="C31">_xlfn.IFS(ISBLANK(Installation!H43),"n/a",Installation!H43="NON","n/a",TRUE,"MEPDMVMI1")</f>
        <v>n/a</v>
      </c>
      <c r="D31" s="58">
        <f>IF(Installation!H43="OUI",Installation!H41,"0")*3</f>
        <v>0</v>
      </c>
      <c r="E31" s="27"/>
      <c r="F31" s="62" t="e">
        <f>VLOOKUP(C31,filtres!B$2:I$101,7,FALSE)</f>
        <v>#N/A</v>
      </c>
      <c r="G31" s="70" t="e">
        <f t="shared" si="0"/>
        <v>#N/A</v>
      </c>
      <c r="H31" s="27"/>
    </row>
    <row r="32" spans="1:8" x14ac:dyDescent="0.25">
      <c r="A32" s="263" t="s">
        <v>78</v>
      </c>
      <c r="B32" s="264"/>
      <c r="C32" s="54"/>
      <c r="D32" s="55"/>
      <c r="E32" s="27"/>
      <c r="F32" s="62"/>
      <c r="G32" s="72"/>
      <c r="H32" s="27"/>
    </row>
    <row r="33" spans="1:8" x14ac:dyDescent="0.25">
      <c r="A33" s="27"/>
      <c r="B33" s="56" t="e">
        <f>VLOOKUP(C33,filtres!B$2:I$101,2,FALSE)</f>
        <v>#N/A</v>
      </c>
      <c r="C33" s="60" t="str">
        <f>IF(Installation!H44="OUI","FILEVC05001","n/a")</f>
        <v>n/a</v>
      </c>
      <c r="D33" s="58" t="str">
        <f>IF(Installation!H44="OUI",Installation!H45,"0")</f>
        <v>0</v>
      </c>
      <c r="E33" s="27"/>
      <c r="F33" s="62" t="e">
        <f>VLOOKUP(C33,filtres!B$2:I$101,7,FALSE)</f>
        <v>#N/A</v>
      </c>
      <c r="G33" s="70" t="e">
        <f>D33*F33</f>
        <v>#N/A</v>
      </c>
      <c r="H33" s="27"/>
    </row>
    <row r="34" spans="1:8" x14ac:dyDescent="0.25">
      <c r="A34" s="27"/>
      <c r="B34" s="27"/>
      <c r="C34" s="27"/>
      <c r="D34" s="36"/>
      <c r="E34" s="27"/>
      <c r="F34" s="64"/>
      <c r="G34" s="63"/>
      <c r="H34" s="27"/>
    </row>
    <row r="35" spans="1:8" x14ac:dyDescent="0.25">
      <c r="A35" s="27"/>
      <c r="B35" s="27"/>
      <c r="C35" s="27"/>
      <c r="D35" s="36"/>
      <c r="E35" s="27"/>
      <c r="F35" s="65" t="s">
        <v>144</v>
      </c>
      <c r="G35" s="66" t="e">
        <f>SUM(G13:G33)</f>
        <v>#N/A</v>
      </c>
      <c r="H35" s="27"/>
    </row>
    <row r="36" spans="1:8" x14ac:dyDescent="0.25">
      <c r="A36" s="27"/>
      <c r="B36" s="27"/>
      <c r="C36" s="27"/>
      <c r="D36" s="36"/>
      <c r="E36" s="27"/>
      <c r="F36" s="27"/>
      <c r="G36" s="27"/>
      <c r="H36" s="27"/>
    </row>
    <row r="37" spans="1:8" x14ac:dyDescent="0.25">
      <c r="A37" s="27"/>
      <c r="B37" s="27"/>
      <c r="C37" s="27"/>
      <c r="D37" s="36"/>
      <c r="E37" s="27"/>
      <c r="F37" s="27"/>
      <c r="G37" s="27"/>
      <c r="H37" s="27"/>
    </row>
    <row r="38" spans="1:8" x14ac:dyDescent="0.25">
      <c r="A38" s="27"/>
      <c r="B38" s="27"/>
      <c r="C38" s="27"/>
      <c r="D38" s="36"/>
      <c r="E38" s="27"/>
      <c r="F38" s="32"/>
      <c r="G38" s="33"/>
      <c r="H38" s="27"/>
    </row>
    <row r="39" spans="1:8" x14ac:dyDescent="0.25">
      <c r="B39" s="27"/>
    </row>
    <row r="40" spans="1:8" x14ac:dyDescent="0.25">
      <c r="B40" s="27"/>
    </row>
    <row r="41" spans="1:8" x14ac:dyDescent="0.25">
      <c r="B41" s="27"/>
    </row>
  </sheetData>
  <sheetProtection sheet="1" objects="1" scenarios="1"/>
  <mergeCells count="12">
    <mergeCell ref="C9:D9"/>
    <mergeCell ref="A22:B22"/>
    <mergeCell ref="A12:B12"/>
    <mergeCell ref="A32:B32"/>
    <mergeCell ref="A25:B25"/>
    <mergeCell ref="A18:B18"/>
    <mergeCell ref="A6:D6"/>
    <mergeCell ref="B2:D2"/>
    <mergeCell ref="B4:D4"/>
    <mergeCell ref="C3:D3"/>
    <mergeCell ref="A8:B8"/>
    <mergeCell ref="C8:D8"/>
  </mergeCells>
  <dataValidations count="2">
    <dataValidation sqref="C3:D3" xr:uid="{00000000-0002-0000-0000-000001000000}"/>
    <dataValidation allowBlank="1" errorTitle="Sélectionner un site !" promptTitle="Site" prompt="Sélectionner le site" sqref="A6:B6 A7:A9 B7 C9 C6:D7" xr:uid="{682CDEDF-BEBD-482C-8FCE-1963C806B0F7}"/>
  </dataValidations>
  <printOptions horizontalCentered="1"/>
  <pageMargins left="0.59055118110236227" right="0.59055118110236227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10E5-80DE-4CC8-8EB0-8156C21C0F8D}">
  <dimension ref="A1:H26"/>
  <sheetViews>
    <sheetView workbookViewId="0">
      <selection activeCell="L5" sqref="L5"/>
    </sheetView>
  </sheetViews>
  <sheetFormatPr baseColWidth="10" defaultColWidth="11.44140625" defaultRowHeight="13.8" x14ac:dyDescent="0.25"/>
  <cols>
    <col min="1" max="1" width="2.88671875" style="14" customWidth="1"/>
    <col min="2" max="2" width="59.5546875" style="14" customWidth="1"/>
    <col min="3" max="3" width="21.6640625" style="14" customWidth="1"/>
    <col min="4" max="4" width="6" style="21" customWidth="1"/>
    <col min="5" max="5" width="5.5546875" style="14" customWidth="1"/>
    <col min="6" max="6" width="11.44140625" style="14"/>
    <col min="7" max="7" width="13.109375" style="14" customWidth="1"/>
    <col min="8" max="16384" width="11.44140625" style="14"/>
  </cols>
  <sheetData>
    <row r="1" spans="1:8" ht="15" x14ac:dyDescent="0.25">
      <c r="B1" s="15"/>
      <c r="C1" s="15"/>
      <c r="D1" s="19"/>
    </row>
    <row r="2" spans="1:8" ht="27.6" x14ac:dyDescent="0.45">
      <c r="B2" s="258" t="s">
        <v>146</v>
      </c>
      <c r="C2" s="258"/>
      <c r="D2" s="258"/>
    </row>
    <row r="3" spans="1:8" ht="27.6" x14ac:dyDescent="0.45">
      <c r="B3" s="16"/>
      <c r="C3" s="258" t="s">
        <v>157</v>
      </c>
      <c r="D3" s="258"/>
    </row>
    <row r="4" spans="1:8" ht="24.6" x14ac:dyDescent="0.4">
      <c r="B4" s="259" t="s">
        <v>148</v>
      </c>
      <c r="C4" s="259"/>
      <c r="D4" s="259"/>
    </row>
    <row r="5" spans="1:8" ht="20.399999999999999" x14ac:dyDescent="0.35">
      <c r="B5" s="17"/>
      <c r="C5" s="17"/>
      <c r="D5" s="20"/>
    </row>
    <row r="6" spans="1:8" ht="17.399999999999999" x14ac:dyDescent="0.25">
      <c r="A6" s="255" t="str">
        <f>Installation!A1</f>
        <v>TTE / FICHE NOUVEAU SITE</v>
      </c>
      <c r="B6" s="256"/>
      <c r="C6" s="256"/>
      <c r="D6" s="257"/>
    </row>
    <row r="7" spans="1:8" ht="9.9" customHeight="1" x14ac:dyDescent="0.25">
      <c r="A7" s="18"/>
      <c r="B7" s="18"/>
      <c r="C7" s="18"/>
      <c r="D7" s="18"/>
    </row>
    <row r="8" spans="1:8" ht="14.1" customHeight="1" x14ac:dyDescent="0.25">
      <c r="A8" s="260">
        <f>Installation!F4</f>
        <v>0</v>
      </c>
      <c r="B8" s="260"/>
      <c r="C8" s="261" t="s">
        <v>149</v>
      </c>
      <c r="D8" s="261"/>
      <c r="E8" s="27"/>
      <c r="F8" s="27"/>
      <c r="G8" s="27"/>
      <c r="H8" s="27"/>
    </row>
    <row r="9" spans="1:8" ht="14.1" customHeight="1" x14ac:dyDescent="0.25">
      <c r="A9" s="26"/>
      <c r="B9" s="26"/>
      <c r="C9" s="262">
        <f>Installation!H16</f>
        <v>0</v>
      </c>
      <c r="D9" s="262"/>
      <c r="E9" s="27"/>
      <c r="F9" s="27"/>
      <c r="G9" s="27"/>
      <c r="H9" s="27"/>
    </row>
    <row r="10" spans="1:8" ht="14.1" customHeight="1" x14ac:dyDescent="0.25">
      <c r="A10" s="27"/>
      <c r="B10" s="28"/>
      <c r="C10" s="29"/>
      <c r="D10" s="30"/>
      <c r="E10" s="27"/>
      <c r="F10" s="27"/>
      <c r="G10" s="27"/>
      <c r="H10" s="27"/>
    </row>
    <row r="11" spans="1:8" x14ac:dyDescent="0.25">
      <c r="A11" s="27"/>
      <c r="B11" s="53" t="s">
        <v>117</v>
      </c>
      <c r="C11" s="54" t="s">
        <v>150</v>
      </c>
      <c r="D11" s="55" t="s">
        <v>118</v>
      </c>
      <c r="E11" s="27"/>
      <c r="F11" s="65" t="s">
        <v>151</v>
      </c>
      <c r="G11" s="65" t="s">
        <v>120</v>
      </c>
      <c r="H11" s="27"/>
    </row>
    <row r="12" spans="1:8" x14ac:dyDescent="0.25">
      <c r="A12" s="263" t="s">
        <v>155</v>
      </c>
      <c r="B12" s="264"/>
      <c r="C12" s="59"/>
      <c r="D12" s="55"/>
      <c r="E12" s="27"/>
      <c r="F12" s="63"/>
      <c r="G12" s="63"/>
      <c r="H12" s="27"/>
    </row>
    <row r="13" spans="1:8" x14ac:dyDescent="0.25">
      <c r="A13" s="34"/>
      <c r="B13" s="91" t="e">
        <f>VLOOKUP(C13,filtres!B$2:I$101,2,FALSE)</f>
        <v>#N/A</v>
      </c>
      <c r="C13" s="92" t="str" cm="1">
        <f t="array" ref="C13">_xlfn.IFS(ISBLANK(Installation!H28),"n/a",TRUE,"FILBOU2002B-7S")</f>
        <v>n/a</v>
      </c>
      <c r="D13" s="58" t="s">
        <v>156</v>
      </c>
      <c r="E13" s="27"/>
      <c r="F13" s="62"/>
      <c r="G13" s="70"/>
      <c r="H13" s="27"/>
    </row>
    <row r="14" spans="1:8" x14ac:dyDescent="0.25">
      <c r="A14" s="31"/>
      <c r="B14" s="56" t="str">
        <f>VLOOKUP(C14,filtres!B$2:I$101,2,FALSE)</f>
        <v>Joint silicone support cloche carter inox boucle type PLT12</v>
      </c>
      <c r="C14" s="60" t="str" cm="1">
        <f t="array" ref="C14">_xlfn.IFS(ISBLANK(Installation!H41),"n/a",TRUE,"GK1242QL01")</f>
        <v>GK1242QL01</v>
      </c>
      <c r="D14" s="58">
        <f>Installation!H41</f>
        <v>1</v>
      </c>
      <c r="E14" s="27"/>
      <c r="F14" s="62" t="e">
        <f>VLOOKUP(C14,filtres!B$2:I$101,9,FALSE)</f>
        <v>#REF!</v>
      </c>
      <c r="G14" s="70" t="e">
        <f>D14*F14</f>
        <v>#REF!</v>
      </c>
      <c r="H14" s="27"/>
    </row>
    <row r="15" spans="1:8" x14ac:dyDescent="0.25">
      <c r="A15" s="31"/>
      <c r="B15" s="56" t="str">
        <f>VLOOKUP(C15,filtres!B$2:I$101,2,FALSE)</f>
        <v>Joint silicoene micro clamp d25 pour tube d13.5 évent carter inox 0,2 &gt;&gt;&gt; JCSIL127217</v>
      </c>
      <c r="C15" s="60" t="str" cm="1">
        <f t="array" ref="C15">_xlfn.IFS(OR(ISBLANK(Installation!H41),Installation!H43="OUI"),"n/a",TRUE,"CLP-MICRO-JNT13.5")</f>
        <v>CLP-MICRO-JNT13.5</v>
      </c>
      <c r="D15" s="58">
        <f>IF(OR(Installation!H43="NON",ISBLANK(Installation!H43)),Installation!H41,"0")</f>
        <v>1</v>
      </c>
      <c r="E15" s="27"/>
      <c r="F15" s="62" t="e">
        <f>VLOOKUP(C15,filtres!B$2:I$101,9,FALSE)</f>
        <v>#REF!</v>
      </c>
      <c r="G15" s="70" t="e">
        <f>D15*F15</f>
        <v>#REF!</v>
      </c>
      <c r="H15" s="27"/>
    </row>
    <row r="16" spans="1:8" x14ac:dyDescent="0.25">
      <c r="A16" s="31"/>
      <c r="B16" s="56" t="e">
        <f>VLOOKUP(C16,filtres!B$2:I$101,2,FALSE)</f>
        <v>#N/A</v>
      </c>
      <c r="C16" s="60" t="str" cm="1">
        <f t="array" ref="C16">_xlfn.IFS(ISBLANK(Installation!H43),"n/a",Installation!H43="NON","n/a",TRUE,"JCSIL254504")</f>
        <v>n/a</v>
      </c>
      <c r="D16" s="58">
        <f>IF(Installation!H43="OUI",Installation!H41,"0")*3</f>
        <v>0</v>
      </c>
      <c r="E16" s="27"/>
      <c r="F16" s="62" t="e">
        <f>VLOOKUP(C16,filtres!B$2:I$101,9,FALSE)</f>
        <v>#N/A</v>
      </c>
      <c r="G16" s="70" t="e">
        <f t="shared" ref="G16:G18" si="0">D16*F16</f>
        <v>#N/A</v>
      </c>
      <c r="H16" s="27"/>
    </row>
    <row r="17" spans="1:8" x14ac:dyDescent="0.25">
      <c r="A17" s="31"/>
      <c r="B17" s="56" t="e">
        <f>VLOOKUP(C17,filtres!B$2:I$101,2,FALSE)</f>
        <v>#N/A</v>
      </c>
      <c r="C17" s="60" t="str" cm="1">
        <f t="array" ref="C17">_xlfn.IFS(ISBLANK(Installation!H43),"n/a",Installation!H43="NON","n/a",TRUE,"JCSIL127217")</f>
        <v>n/a</v>
      </c>
      <c r="D17" s="58">
        <f>IF(Installation!H43="OUI",Installation!H41,"0")*3</f>
        <v>0</v>
      </c>
      <c r="E17" s="27"/>
      <c r="F17" s="62" t="e">
        <f>VLOOKUP(C17,filtres!B$2:I$101,9,FALSE)</f>
        <v>#N/A</v>
      </c>
      <c r="G17" s="70" t="e">
        <f t="shared" si="0"/>
        <v>#N/A</v>
      </c>
      <c r="H17" s="27"/>
    </row>
    <row r="18" spans="1:8" x14ac:dyDescent="0.25">
      <c r="A18" s="31"/>
      <c r="B18" s="56" t="e">
        <f>VLOOKUP(C18,filtres!B$2:I$101,2,FALSE)</f>
        <v>#N/A</v>
      </c>
      <c r="C18" s="60" t="str" cm="1">
        <f t="array" ref="C18">_xlfn.IFS(ISBLANK(Installation!H43),"n/a",Installation!H43="NON","n/a",TRUE,"MEPDMVMI1")</f>
        <v>n/a</v>
      </c>
      <c r="D18" s="58">
        <f>IF(Installation!H43="OUI",Installation!H41,"0")*3</f>
        <v>0</v>
      </c>
      <c r="E18" s="27"/>
      <c r="F18" s="62" t="e">
        <f>VLOOKUP(C18,filtres!B$2:I$101,9,FALSE)</f>
        <v>#N/A</v>
      </c>
      <c r="G18" s="70" t="e">
        <f t="shared" si="0"/>
        <v>#N/A</v>
      </c>
      <c r="H18" s="27"/>
    </row>
    <row r="19" spans="1:8" x14ac:dyDescent="0.25">
      <c r="A19" s="27"/>
      <c r="B19" s="27"/>
      <c r="C19" s="27"/>
      <c r="D19" s="36"/>
      <c r="E19" s="27"/>
      <c r="F19" s="27"/>
      <c r="G19" s="27"/>
      <c r="H19" s="27"/>
    </row>
    <row r="20" spans="1:8" x14ac:dyDescent="0.25">
      <c r="A20" s="27"/>
      <c r="B20" s="27"/>
      <c r="C20" s="27"/>
      <c r="D20" s="36"/>
      <c r="E20" s="27"/>
      <c r="F20" s="65" t="s">
        <v>144</v>
      </c>
      <c r="G20" s="66" t="e">
        <f>SUM(G12:G18)</f>
        <v>#REF!</v>
      </c>
      <c r="H20" s="27"/>
    </row>
    <row r="21" spans="1:8" x14ac:dyDescent="0.25">
      <c r="A21" s="27"/>
      <c r="B21" s="27"/>
      <c r="C21" s="27"/>
      <c r="D21" s="36"/>
      <c r="E21" s="27"/>
      <c r="F21" s="27"/>
      <c r="G21" s="27"/>
      <c r="H21" s="27"/>
    </row>
    <row r="22" spans="1:8" x14ac:dyDescent="0.25">
      <c r="A22" s="27"/>
      <c r="B22" s="27"/>
      <c r="C22" s="27"/>
      <c r="D22" s="36"/>
      <c r="E22" s="27"/>
      <c r="F22" s="27"/>
      <c r="G22" s="27"/>
      <c r="H22" s="27"/>
    </row>
    <row r="23" spans="1:8" x14ac:dyDescent="0.25">
      <c r="A23" s="27"/>
      <c r="B23" s="27"/>
      <c r="C23" s="27"/>
      <c r="D23" s="36"/>
      <c r="E23" s="27"/>
      <c r="F23" s="32"/>
      <c r="G23" s="33"/>
      <c r="H23" s="27"/>
    </row>
    <row r="24" spans="1:8" x14ac:dyDescent="0.25">
      <c r="B24" s="27"/>
    </row>
    <row r="25" spans="1:8" x14ac:dyDescent="0.25">
      <c r="B25" s="27"/>
    </row>
    <row r="26" spans="1:8" x14ac:dyDescent="0.25">
      <c r="B26" s="27"/>
    </row>
  </sheetData>
  <sheetProtection sheet="1"/>
  <mergeCells count="8">
    <mergeCell ref="A12:B12"/>
    <mergeCell ref="C8:D8"/>
    <mergeCell ref="C9:D9"/>
    <mergeCell ref="B2:D2"/>
    <mergeCell ref="C3:D3"/>
    <mergeCell ref="B4:D4"/>
    <mergeCell ref="A6:D6"/>
    <mergeCell ref="A8:B8"/>
  </mergeCells>
  <dataValidations count="2">
    <dataValidation allowBlank="1" errorTitle="Sélectionner un site !" promptTitle="Site" prompt="Sélectionner le site" sqref="C6:D7 B7 A6:B6 A7:A9 C9" xr:uid="{338CCD5D-7077-4402-B37C-A06954208500}"/>
    <dataValidation sqref="C3:D3" xr:uid="{167F4849-DC0F-4388-A867-3F5202B9130B}"/>
  </dataValidations>
  <printOptions horizontalCentered="1"/>
  <pageMargins left="0.59055118110236227" right="0.59055118110236227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"/>
  <sheetViews>
    <sheetView topLeftCell="H1" workbookViewId="0">
      <selection activeCell="X3" sqref="X3"/>
    </sheetView>
  </sheetViews>
  <sheetFormatPr baseColWidth="10" defaultColWidth="11.44140625" defaultRowHeight="14.4" x14ac:dyDescent="0.3"/>
  <cols>
    <col min="1" max="1" width="26.6640625" customWidth="1"/>
    <col min="2" max="2" width="6.6640625" customWidth="1"/>
    <col min="3" max="3" width="32.6640625" customWidth="1"/>
    <col min="6" max="6" width="37.88671875" customWidth="1"/>
    <col min="7" max="7" width="26.5546875" customWidth="1"/>
    <col min="8" max="8" width="27.88671875" customWidth="1"/>
    <col min="9" max="9" width="6.5546875" customWidth="1"/>
    <col min="10" max="11" width="6.6640625" customWidth="1"/>
    <col min="12" max="13" width="4.44140625" customWidth="1"/>
    <col min="14" max="14" width="32.88671875" customWidth="1"/>
    <col min="17" max="17" width="26.6640625" customWidth="1"/>
    <col min="18" max="18" width="14.5546875" customWidth="1"/>
    <col min="19" max="19" width="17.88671875" customWidth="1"/>
  </cols>
  <sheetData>
    <row r="1" spans="1:24" x14ac:dyDescent="0.3">
      <c r="A1" t="s">
        <v>158</v>
      </c>
      <c r="B1" t="s">
        <v>159</v>
      </c>
      <c r="C1" t="s">
        <v>69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s="1" t="s">
        <v>76</v>
      </c>
      <c r="J1" s="1" t="s">
        <v>76</v>
      </c>
      <c r="K1" s="1">
        <v>2</v>
      </c>
      <c r="L1" s="1">
        <v>1</v>
      </c>
      <c r="M1" s="1">
        <v>1</v>
      </c>
      <c r="N1" s="4" t="s">
        <v>156</v>
      </c>
      <c r="O1" s="4" t="s">
        <v>76</v>
      </c>
      <c r="P1" t="s">
        <v>165</v>
      </c>
      <c r="Q1" t="s">
        <v>166</v>
      </c>
      <c r="R1" t="s">
        <v>76</v>
      </c>
      <c r="S1" t="s">
        <v>167</v>
      </c>
      <c r="T1" t="s">
        <v>69</v>
      </c>
      <c r="U1" t="s">
        <v>168</v>
      </c>
      <c r="V1" t="s">
        <v>169</v>
      </c>
      <c r="W1" t="s">
        <v>170</v>
      </c>
      <c r="X1" t="s">
        <v>171</v>
      </c>
    </row>
    <row r="2" spans="1:24" x14ac:dyDescent="0.3">
      <c r="A2" t="s">
        <v>172</v>
      </c>
      <c r="B2" t="s">
        <v>173</v>
      </c>
      <c r="C2" t="s">
        <v>81</v>
      </c>
      <c r="D2" t="s">
        <v>174</v>
      </c>
      <c r="E2" t="s">
        <v>175</v>
      </c>
      <c r="F2" t="s">
        <v>176</v>
      </c>
      <c r="G2" t="s">
        <v>177</v>
      </c>
      <c r="H2" t="s">
        <v>178</v>
      </c>
      <c r="I2">
        <v>1</v>
      </c>
      <c r="J2" s="1">
        <v>1</v>
      </c>
      <c r="K2" s="1">
        <v>4</v>
      </c>
      <c r="L2">
        <v>2</v>
      </c>
      <c r="M2">
        <v>2</v>
      </c>
      <c r="N2" t="s">
        <v>74</v>
      </c>
      <c r="O2" t="s">
        <v>45</v>
      </c>
      <c r="P2" t="s">
        <v>179</v>
      </c>
      <c r="Q2" t="s">
        <v>180</v>
      </c>
      <c r="R2" t="s">
        <v>181</v>
      </c>
      <c r="S2" t="s">
        <v>182</v>
      </c>
      <c r="T2" t="s">
        <v>183</v>
      </c>
      <c r="U2" t="s">
        <v>184</v>
      </c>
      <c r="V2" t="s">
        <v>185</v>
      </c>
      <c r="W2" t="s">
        <v>186</v>
      </c>
      <c r="X2" t="s">
        <v>187</v>
      </c>
    </row>
    <row r="3" spans="1:24" x14ac:dyDescent="0.3">
      <c r="A3" t="s">
        <v>188</v>
      </c>
      <c r="B3" t="s">
        <v>189</v>
      </c>
      <c r="C3" t="s">
        <v>190</v>
      </c>
      <c r="E3" t="s">
        <v>191</v>
      </c>
      <c r="F3" t="s">
        <v>192</v>
      </c>
      <c r="G3" t="s">
        <v>193</v>
      </c>
      <c r="H3" t="s">
        <v>194</v>
      </c>
      <c r="I3">
        <v>2</v>
      </c>
      <c r="J3">
        <v>2</v>
      </c>
      <c r="K3">
        <v>6</v>
      </c>
      <c r="L3">
        <v>3</v>
      </c>
      <c r="M3">
        <v>3</v>
      </c>
      <c r="N3" t="s">
        <v>195</v>
      </c>
      <c r="P3" t="s">
        <v>196</v>
      </c>
      <c r="Q3" t="s">
        <v>197</v>
      </c>
      <c r="S3" t="s">
        <v>198</v>
      </c>
      <c r="T3" t="s">
        <v>199</v>
      </c>
      <c r="U3" t="s">
        <v>200</v>
      </c>
      <c r="V3" t="s">
        <v>201</v>
      </c>
    </row>
    <row r="4" spans="1:24" x14ac:dyDescent="0.3">
      <c r="A4" t="s">
        <v>202</v>
      </c>
      <c r="C4" t="s">
        <v>203</v>
      </c>
      <c r="F4" t="s">
        <v>204</v>
      </c>
      <c r="G4" t="s">
        <v>205</v>
      </c>
      <c r="I4">
        <v>3</v>
      </c>
      <c r="L4">
        <v>4</v>
      </c>
      <c r="M4">
        <v>4</v>
      </c>
      <c r="N4" t="s">
        <v>206</v>
      </c>
      <c r="Q4" t="s">
        <v>207</v>
      </c>
      <c r="S4" t="s">
        <v>208</v>
      </c>
      <c r="T4" t="s">
        <v>209</v>
      </c>
      <c r="U4" t="s">
        <v>210</v>
      </c>
      <c r="V4" t="s">
        <v>211</v>
      </c>
    </row>
    <row r="5" spans="1:24" x14ac:dyDescent="0.3">
      <c r="A5" t="s">
        <v>212</v>
      </c>
      <c r="B5" t="s">
        <v>213</v>
      </c>
      <c r="C5" t="s">
        <v>214</v>
      </c>
      <c r="F5" t="s">
        <v>215</v>
      </c>
      <c r="I5">
        <v>4</v>
      </c>
      <c r="L5">
        <v>5</v>
      </c>
      <c r="M5">
        <v>5</v>
      </c>
      <c r="N5" t="s">
        <v>216</v>
      </c>
      <c r="S5" t="s">
        <v>217</v>
      </c>
      <c r="T5" t="s">
        <v>218</v>
      </c>
      <c r="U5" t="s">
        <v>219</v>
      </c>
      <c r="V5" t="s">
        <v>220</v>
      </c>
    </row>
    <row r="6" spans="1:24" x14ac:dyDescent="0.3">
      <c r="A6" t="s">
        <v>221</v>
      </c>
      <c r="B6" t="s">
        <v>222</v>
      </c>
      <c r="F6" t="s">
        <v>223</v>
      </c>
      <c r="L6">
        <v>6</v>
      </c>
      <c r="M6">
        <v>6</v>
      </c>
      <c r="N6" t="s">
        <v>224</v>
      </c>
      <c r="S6" t="s">
        <v>225</v>
      </c>
      <c r="T6" t="s">
        <v>226</v>
      </c>
      <c r="U6" t="s">
        <v>227</v>
      </c>
      <c r="V6" t="s">
        <v>228</v>
      </c>
    </row>
    <row r="7" spans="1:24" x14ac:dyDescent="0.3">
      <c r="A7" t="s">
        <v>229</v>
      </c>
      <c r="B7" t="s">
        <v>159</v>
      </c>
      <c r="F7" t="s">
        <v>230</v>
      </c>
      <c r="L7">
        <v>7</v>
      </c>
      <c r="M7">
        <v>7</v>
      </c>
      <c r="N7" t="s">
        <v>231</v>
      </c>
      <c r="V7" t="s">
        <v>232</v>
      </c>
    </row>
    <row r="8" spans="1:24" x14ac:dyDescent="0.3">
      <c r="A8" s="2" t="s">
        <v>233</v>
      </c>
      <c r="B8" t="s">
        <v>234</v>
      </c>
      <c r="C8" t="s">
        <v>69</v>
      </c>
      <c r="L8">
        <v>8</v>
      </c>
      <c r="M8">
        <v>8</v>
      </c>
      <c r="N8" s="4" t="s">
        <v>156</v>
      </c>
      <c r="V8" t="s">
        <v>235</v>
      </c>
    </row>
    <row r="9" spans="1:24" x14ac:dyDescent="0.3">
      <c r="A9" s="2" t="s">
        <v>236</v>
      </c>
      <c r="B9" t="s">
        <v>237</v>
      </c>
      <c r="C9" t="s">
        <v>203</v>
      </c>
      <c r="M9">
        <v>9</v>
      </c>
      <c r="N9" t="s">
        <v>238</v>
      </c>
      <c r="V9" t="s">
        <v>239</v>
      </c>
    </row>
    <row r="10" spans="1:24" x14ac:dyDescent="0.3">
      <c r="A10" s="2" t="s">
        <v>240</v>
      </c>
      <c r="B10" t="s">
        <v>241</v>
      </c>
      <c r="C10" t="s">
        <v>214</v>
      </c>
      <c r="M10">
        <v>10</v>
      </c>
      <c r="N10" t="s">
        <v>48</v>
      </c>
      <c r="V10" t="s">
        <v>242</v>
      </c>
    </row>
    <row r="11" spans="1:24" x14ac:dyDescent="0.3">
      <c r="A11" t="s">
        <v>243</v>
      </c>
      <c r="B11" t="s">
        <v>244</v>
      </c>
      <c r="N11" t="s">
        <v>245</v>
      </c>
      <c r="V11" t="s">
        <v>246</v>
      </c>
    </row>
    <row r="12" spans="1:24" x14ac:dyDescent="0.3">
      <c r="A12" t="s">
        <v>247</v>
      </c>
      <c r="B12" t="s">
        <v>248</v>
      </c>
      <c r="N12" t="s">
        <v>249</v>
      </c>
      <c r="V12" t="s">
        <v>250</v>
      </c>
    </row>
    <row r="13" spans="1:24" x14ac:dyDescent="0.3">
      <c r="A13" t="s">
        <v>251</v>
      </c>
      <c r="B13" t="s">
        <v>252</v>
      </c>
      <c r="V13" t="s">
        <v>253</v>
      </c>
    </row>
    <row r="14" spans="1:24" x14ac:dyDescent="0.3">
      <c r="A14" t="s">
        <v>254</v>
      </c>
      <c r="B14" t="s">
        <v>255</v>
      </c>
      <c r="N14" s="4" t="s">
        <v>156</v>
      </c>
      <c r="V14" t="s">
        <v>256</v>
      </c>
    </row>
    <row r="15" spans="1:24" x14ac:dyDescent="0.3">
      <c r="A15" t="s">
        <v>257</v>
      </c>
      <c r="B15" t="s">
        <v>258</v>
      </c>
      <c r="N15" t="s">
        <v>259</v>
      </c>
      <c r="V15" t="s">
        <v>260</v>
      </c>
    </row>
    <row r="16" spans="1:24" x14ac:dyDescent="0.3">
      <c r="A16" t="s">
        <v>261</v>
      </c>
      <c r="B16" t="s">
        <v>262</v>
      </c>
      <c r="N16" t="s">
        <v>263</v>
      </c>
      <c r="V16" t="s">
        <v>264</v>
      </c>
    </row>
    <row r="17" spans="1:22" x14ac:dyDescent="0.3">
      <c r="A17" t="s">
        <v>265</v>
      </c>
      <c r="B17" t="s">
        <v>173</v>
      </c>
      <c r="N17" t="s">
        <v>266</v>
      </c>
      <c r="V17" t="s">
        <v>267</v>
      </c>
    </row>
    <row r="18" spans="1:22" x14ac:dyDescent="0.3">
      <c r="A18" t="s">
        <v>268</v>
      </c>
      <c r="B18" t="s">
        <v>269</v>
      </c>
      <c r="N18" t="s">
        <v>270</v>
      </c>
    </row>
    <row r="19" spans="1:22" x14ac:dyDescent="0.3">
      <c r="A19" t="s">
        <v>271</v>
      </c>
      <c r="B19" t="s">
        <v>272</v>
      </c>
      <c r="N19" t="s">
        <v>273</v>
      </c>
    </row>
    <row r="20" spans="1:22" x14ac:dyDescent="0.3">
      <c r="B20" t="s">
        <v>189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1644-7CA7-4055-9A6D-8C56EC8677EA}">
  <dimension ref="A1:I92"/>
  <sheetViews>
    <sheetView topLeftCell="A85" workbookViewId="0">
      <selection activeCell="K108" sqref="K108"/>
    </sheetView>
  </sheetViews>
  <sheetFormatPr baseColWidth="10" defaultColWidth="11.44140625" defaultRowHeight="13.2" x14ac:dyDescent="0.25"/>
  <cols>
    <col min="1" max="1" width="19.44140625" style="6" bestFit="1" customWidth="1"/>
    <col min="2" max="2" width="18.33203125" style="6" bestFit="1" customWidth="1"/>
    <col min="3" max="3" width="59.33203125" style="6" customWidth="1"/>
    <col min="4" max="4" width="11.44140625" style="6"/>
    <col min="5" max="5" width="14.109375" style="6" customWidth="1"/>
    <col min="6" max="6" width="11.44140625" style="6"/>
    <col min="7" max="7" width="5.33203125" style="6" customWidth="1"/>
    <col min="8" max="8" width="11.44140625" style="6"/>
    <col min="9" max="9" width="9.44140625" style="22" customWidth="1"/>
    <col min="10" max="16384" width="11.44140625" style="6"/>
  </cols>
  <sheetData>
    <row r="1" spans="1:9" x14ac:dyDescent="0.25">
      <c r="F1" s="22" t="s">
        <v>274</v>
      </c>
      <c r="G1" s="22" t="s">
        <v>275</v>
      </c>
      <c r="H1" s="22" t="s">
        <v>119</v>
      </c>
      <c r="I1" s="22" t="s">
        <v>276</v>
      </c>
    </row>
    <row r="2" spans="1:9" x14ac:dyDescent="0.25">
      <c r="B2" s="6" t="s">
        <v>277</v>
      </c>
      <c r="C2" s="6" t="str">
        <f>VLOOKUP(B2,[1]BDD!$A$4:$M$553,2,FALSE)</f>
        <v xml:space="preserve"> NY6PC Nylon66 10'' 0.22µm abs. Code 3F (charge +) (86135) 2x222+plat</v>
      </c>
      <c r="D2" s="6" t="str">
        <f>VLOOKUP(B2,[1]BDD!$A$4:$M$603,3,FALSE)</f>
        <v>F1188200</v>
      </c>
      <c r="E2" s="6" t="str">
        <f>VLOOKUP(B2,[1]BDD!$A$4:$M$603,4,FALSE)</f>
        <v>EFILTEC</v>
      </c>
      <c r="F2" s="23">
        <f>VLOOKUP(B2,[1]BDD!$A$4:$M$603,7,FALSE)</f>
        <v>123</v>
      </c>
      <c r="G2" s="6">
        <f>VLOOKUP(B2,[1]BDD!$A$4:$M$603,8,FALSE)</f>
        <v>1</v>
      </c>
      <c r="H2" s="23">
        <f>VLOOKUP(B2,[1]BDD!$A$4:$M$603,9,FALSE)</f>
        <v>123</v>
      </c>
    </row>
    <row r="3" spans="1:9" x14ac:dyDescent="0.25">
      <c r="B3" s="6" t="s">
        <v>278</v>
      </c>
      <c r="C3" s="6" t="str">
        <f>VLOOKUP(B3,[1]BDD!$A$4:$M$553,2,FALSE)</f>
        <v>EfilPore PESGA 9'' 3/4 0,2µm abs. Code 7S grade bio (97020) 2x226+baïonnette</v>
      </c>
      <c r="D3" s="6" t="str">
        <f>VLOOKUP(B3,[1]BDD!$A$4:$M$603,3,FALSE)</f>
        <v>F1188200</v>
      </c>
      <c r="E3" s="6" t="str">
        <f>VLOOKUP(B3,[1]BDD!$A$4:$M$603,4,FALSE)</f>
        <v>EFILTEC</v>
      </c>
      <c r="F3" s="23">
        <f>VLOOKUP(B3,[1]BDD!$A$4:$M$603,7,FALSE)</f>
        <v>123</v>
      </c>
      <c r="G3" s="6">
        <f>VLOOKUP(B3,[1]BDD!$A$4:$M$603,8,FALSE)</f>
        <v>1</v>
      </c>
      <c r="H3" s="23">
        <f>VLOOKUP(B3,[1]BDD!$A$4:$M$603,9,FALSE)</f>
        <v>123</v>
      </c>
    </row>
    <row r="4" spans="1:9" x14ac:dyDescent="0.25">
      <c r="B4" s="6" t="s">
        <v>279</v>
      </c>
      <c r="C4" s="6" t="str">
        <f>VLOOKUP(B4,[1]BDD!$A$4:$M$553,2,FALSE)</f>
        <v>EfilPore PESGA 20" 0,2µm abs. Code 3F grade bio (97013) 2x222+plat</v>
      </c>
      <c r="D4" s="6" t="str">
        <f>VLOOKUP(B4,[1]BDD!$A$4:$M$603,3,FALSE)</f>
        <v>F1188200</v>
      </c>
      <c r="E4" s="6" t="str">
        <f>VLOOKUP(B4,[1]BDD!$A$4:$M$603,4,FALSE)</f>
        <v>EFILTEC</v>
      </c>
      <c r="F4" s="23">
        <f>VLOOKUP(B4,[1]BDD!$A$4:$M$603,7,FALSE)</f>
        <v>194.75</v>
      </c>
      <c r="G4" s="6">
        <f>VLOOKUP(B4,[1]BDD!$A$4:$M$603,8,FALSE)</f>
        <v>1</v>
      </c>
      <c r="H4" s="23">
        <f>VLOOKUP(B4,[1]BDD!$A$4:$M$603,9,FALSE)</f>
        <v>194.75</v>
      </c>
    </row>
    <row r="5" spans="1:9" x14ac:dyDescent="0.25">
      <c r="A5" s="6" t="s">
        <v>121</v>
      </c>
      <c r="B5" s="6" t="s">
        <v>280</v>
      </c>
      <c r="C5" s="6" t="str">
        <f>VLOOKUP(B5,[1]BDD!$A$4:$M$553,2,FALSE)</f>
        <v>EfilPore PESGA 20" 0,2µm abs. Code 7S grade bio (97005) 2x226+baïonnette</v>
      </c>
      <c r="D5" s="6" t="str">
        <f>VLOOKUP(B5,[1]BDD!$A$4:$M$603,3,FALSE)</f>
        <v>F1188200</v>
      </c>
      <c r="E5" s="6" t="str">
        <f>VLOOKUP(B5,[1]BDD!$A$4:$M$603,4,FALSE)</f>
        <v>EFILTEC</v>
      </c>
      <c r="F5" s="23">
        <f>VLOOKUP(B5,[1]BDD!$A$4:$M$603,7,FALSE)</f>
        <v>194.75</v>
      </c>
      <c r="G5" s="6">
        <f>VLOOKUP(B5,[1]BDD!$A$4:$M$603,8,FALSE)</f>
        <v>1</v>
      </c>
      <c r="H5" s="23">
        <f>VLOOKUP(B5,[1]BDD!$A$4:$M$603,9,FALSE)</f>
        <v>194.75</v>
      </c>
    </row>
    <row r="6" spans="1:9" x14ac:dyDescent="0.25">
      <c r="F6" s="23"/>
      <c r="H6" s="23"/>
    </row>
    <row r="7" spans="1:9" x14ac:dyDescent="0.25">
      <c r="A7" s="6" t="s">
        <v>66</v>
      </c>
      <c r="B7" s="6" t="s">
        <v>281</v>
      </c>
      <c r="C7" s="6" t="str">
        <f>VLOOKUP(B7,[1]BDD!$A$4:$M$553,2,FALSE)</f>
        <v>KlariSpunGA Excel 20'' 1µm DOE EPDM (absolu) (97306)</v>
      </c>
      <c r="D7" s="6" t="str">
        <f>VLOOKUP(B7,[1]BDD!$A$4:$M$603,3,FALSE)</f>
        <v>F1188200</v>
      </c>
      <c r="E7" s="6" t="str">
        <f>VLOOKUP(B7,[1]BDD!$A$4:$M$603,4,FALSE)</f>
        <v>EFILTEC</v>
      </c>
      <c r="F7" s="23">
        <f>VLOOKUP(B7,[1]BDD!$A$4:$M$603,7,FALSE)</f>
        <v>22.29</v>
      </c>
      <c r="G7" s="6">
        <f>VLOOKUP(B7,[1]BDD!$A$4:$M$603,8,FALSE)</f>
        <v>1</v>
      </c>
      <c r="H7" s="23">
        <f>VLOOKUP(B7,[1]BDD!$A$4:$M$603,9,FALSE)</f>
        <v>22.29</v>
      </c>
    </row>
    <row r="8" spans="1:9" x14ac:dyDescent="0.25">
      <c r="A8" s="6" t="s">
        <v>282</v>
      </c>
      <c r="B8" s="6" t="s">
        <v>283</v>
      </c>
      <c r="C8" s="6" t="str">
        <f>VLOOKUP(B8,[1]BDD!$A$4:$M$553,2,FALSE)</f>
        <v>KlariSpunGA Excel 20'' 5µm DOE EPDM (absolu) (97313)</v>
      </c>
      <c r="D8" s="6" t="str">
        <f>VLOOKUP(B8,[1]BDD!$A$4:$M$603,3,FALSE)</f>
        <v>F1188200</v>
      </c>
      <c r="E8" s="6" t="str">
        <f>VLOOKUP(B8,[1]BDD!$A$4:$M$603,4,FALSE)</f>
        <v>EFILTEC</v>
      </c>
      <c r="F8" s="23">
        <f>VLOOKUP(B8,[1]BDD!$A$4:$M$603,7,FALSE)</f>
        <v>20.5</v>
      </c>
      <c r="G8" s="6">
        <f>VLOOKUP(B8,[1]BDD!$A$4:$M$603,8,FALSE)</f>
        <v>1</v>
      </c>
      <c r="H8" s="23">
        <f>VLOOKUP(B8,[1]BDD!$A$4:$M$603,9,FALSE)</f>
        <v>20.5</v>
      </c>
    </row>
    <row r="9" spans="1:9" x14ac:dyDescent="0.25">
      <c r="F9" s="23"/>
      <c r="H9" s="23"/>
    </row>
    <row r="10" spans="1:9" x14ac:dyDescent="0.25">
      <c r="A10" s="6" t="s">
        <v>284</v>
      </c>
      <c r="B10" s="6" t="s">
        <v>285</v>
      </c>
      <c r="C10" s="6" t="str">
        <f>VLOOKUP(B10,[1]BDD!$A$4:$M$553,2,FALSE)</f>
        <v>Filtre évent PTFE 5'' 0,01 µm à visser filetage 1/2" (15x21) long. 160mm (86009)</v>
      </c>
      <c r="D10" s="6" t="str">
        <f>VLOOKUP(B10,[1]BDD!$A$4:$M$603,3,FALSE)</f>
        <v>F1188200</v>
      </c>
      <c r="E10" s="6" t="str">
        <f>VLOOKUP(B10,[1]BDD!$A$4:$M$603,4,FALSE)</f>
        <v>EFILTEC</v>
      </c>
      <c r="F10" s="23">
        <f>VLOOKUP(B10,[1]BDD!$A$4:$M$603,7,FALSE)</f>
        <v>128.13</v>
      </c>
      <c r="G10" s="6">
        <f>VLOOKUP(B10,[1]BDD!$A$4:$M$603,8,FALSE)</f>
        <v>1</v>
      </c>
      <c r="H10" s="23">
        <f>VLOOKUP(B10,[1]BDD!$A$4:$M$603,9,FALSE)</f>
        <v>128.13</v>
      </c>
    </row>
    <row r="11" spans="1:9" x14ac:dyDescent="0.25">
      <c r="F11" s="23"/>
      <c r="H11" s="23"/>
    </row>
    <row r="12" spans="1:9" x14ac:dyDescent="0.25">
      <c r="A12" s="6" t="s">
        <v>286</v>
      </c>
      <c r="B12" s="6" t="s">
        <v>287</v>
      </c>
      <c r="C12" s="6" t="str">
        <f>VLOOKUP(B12,[1]BDD!$A$4:$M$553,2,FALSE)</f>
        <v>KlariSpunGA Crystal 20" 1µm DOE (nominal) (97205)</v>
      </c>
      <c r="D12" s="6" t="str">
        <f>VLOOKUP(B12,[1]BDD!$A$4:$M$603,3,FALSE)</f>
        <v>F1188200</v>
      </c>
      <c r="E12" s="6" t="str">
        <f>VLOOKUP(B12,[1]BDD!$A$4:$M$603,4,FALSE)</f>
        <v>EFILTEC</v>
      </c>
      <c r="F12" s="23">
        <f>VLOOKUP(B12,[1]BDD!$A$4:$M$603,7,FALSE)</f>
        <v>4.07</v>
      </c>
      <c r="G12" s="6">
        <f>VLOOKUP(B12,[1]BDD!$A$4:$M$603,8,FALSE)</f>
        <v>1</v>
      </c>
      <c r="H12" s="23">
        <f>VLOOKUP(B12,[1]BDD!$A$4:$M$603,9,FALSE)</f>
        <v>4.07</v>
      </c>
    </row>
    <row r="13" spans="1:9" x14ac:dyDescent="0.25">
      <c r="A13" s="6" t="s">
        <v>288</v>
      </c>
      <c r="B13" s="6" t="s">
        <v>289</v>
      </c>
      <c r="C13" s="6" t="str">
        <f>VLOOKUP(B13,[1]BDD!$A$4:$M$553,2,FALSE)</f>
        <v>KlariSpunGA Crystal 20" 3µm DOE (nominal) (97209)</v>
      </c>
      <c r="D13" s="6" t="str">
        <f>VLOOKUP(B13,[1]BDD!$A$4:$M$603,3,FALSE)</f>
        <v>F1188200</v>
      </c>
      <c r="E13" s="6" t="str">
        <f>VLOOKUP(B13,[1]BDD!$A$4:$M$603,4,FALSE)</f>
        <v>EFILTEC</v>
      </c>
      <c r="F13" s="23">
        <f>VLOOKUP(B13,[1]BDD!$A$4:$M$603,7,FALSE)</f>
        <v>3.97</v>
      </c>
      <c r="G13" s="6">
        <f>VLOOKUP(B13,[1]BDD!$A$4:$M$603,8,FALSE)</f>
        <v>1</v>
      </c>
      <c r="H13" s="23">
        <f>VLOOKUP(B13,[1]BDD!$A$4:$M$603,9,FALSE)</f>
        <v>3.97</v>
      </c>
    </row>
    <row r="14" spans="1:9" x14ac:dyDescent="0.25">
      <c r="A14" s="6" t="s">
        <v>71</v>
      </c>
      <c r="B14" s="6" t="s">
        <v>290</v>
      </c>
      <c r="C14" s="6" t="str">
        <f>VLOOKUP(B14,[1]BDD!$A$4:$M$553,2,FALSE)</f>
        <v>KlariSpunGA Crystal 20" 5µm DOE (nominal) (97206)</v>
      </c>
      <c r="D14" s="6" t="str">
        <f>VLOOKUP(B14,[1]BDD!$A$4:$M$603,3,FALSE)</f>
        <v>F1188200</v>
      </c>
      <c r="E14" s="6" t="str">
        <f>VLOOKUP(B14,[1]BDD!$A$4:$M$603,4,FALSE)</f>
        <v>EFILTEC</v>
      </c>
      <c r="F14" s="23">
        <f>VLOOKUP(B14,[1]BDD!$A$4:$M$603,7,FALSE)</f>
        <v>3.97</v>
      </c>
      <c r="G14" s="6">
        <f>VLOOKUP(B14,[1]BDD!$A$4:$M$603,8,FALSE)</f>
        <v>1</v>
      </c>
      <c r="H14" s="23">
        <f>VLOOKUP(B14,[1]BDD!$A$4:$M$603,9,FALSE)</f>
        <v>3.97</v>
      </c>
    </row>
    <row r="15" spans="1:9" x14ac:dyDescent="0.25">
      <c r="A15" s="6" t="s">
        <v>291</v>
      </c>
      <c r="B15" s="6" t="s">
        <v>292</v>
      </c>
      <c r="C15" s="6" t="str">
        <f>VLOOKUP(B15,[1]BDD!$A$4:$M$553,2,FALSE)</f>
        <v>KlariSpunGA Crystal 20" 10µm DOE (nominal) (97207)</v>
      </c>
      <c r="D15" s="6" t="str">
        <f>VLOOKUP(B15,[1]BDD!$A$4:$M$603,3,FALSE)</f>
        <v>F1188200</v>
      </c>
      <c r="E15" s="6" t="str">
        <f>VLOOKUP(B15,[1]BDD!$A$4:$M$603,4,FALSE)</f>
        <v>EFILTEC</v>
      </c>
      <c r="F15" s="23">
        <f>VLOOKUP(B15,[1]BDD!$A$4:$M$603,7,FALSE)</f>
        <v>3.97</v>
      </c>
      <c r="G15" s="6">
        <f>VLOOKUP(B15,[1]BDD!$A$4:$M$603,8,FALSE)</f>
        <v>1</v>
      </c>
      <c r="H15" s="23">
        <f>VLOOKUP(B15,[1]BDD!$A$4:$M$603,9,FALSE)</f>
        <v>3.97</v>
      </c>
    </row>
    <row r="16" spans="1:9" x14ac:dyDescent="0.25">
      <c r="A16" s="6" t="s">
        <v>293</v>
      </c>
      <c r="B16" s="6" t="s">
        <v>294</v>
      </c>
      <c r="C16" s="6" t="str">
        <f>VLOOKUP(B16,[1]BDD!$A$4:$M$553,2,FALSE)</f>
        <v>KlariSpunGA Crystal 20" 20µm DOE (nominal) (97200)</v>
      </c>
      <c r="D16" s="6" t="str">
        <f>VLOOKUP(B16,[1]BDD!$A$4:$M$603,3,FALSE)</f>
        <v>F1188200</v>
      </c>
      <c r="E16" s="6" t="str">
        <f>VLOOKUP(B16,[1]BDD!$A$4:$M$603,4,FALSE)</f>
        <v>EFILTEC</v>
      </c>
      <c r="F16" s="23">
        <f>VLOOKUP(B16,[1]BDD!$A$4:$M$603,7,FALSE)</f>
        <v>3.97</v>
      </c>
      <c r="G16" s="6">
        <f>VLOOKUP(B16,[1]BDD!$A$4:$M$603,8,FALSE)</f>
        <v>1</v>
      </c>
      <c r="H16" s="23">
        <f>VLOOKUP(B16,[1]BDD!$A$4:$M$603,9,FALSE)</f>
        <v>3.97</v>
      </c>
    </row>
    <row r="17" spans="1:8" x14ac:dyDescent="0.25">
      <c r="F17" s="23"/>
      <c r="H17" s="23"/>
    </row>
    <row r="18" spans="1:8" x14ac:dyDescent="0.25">
      <c r="A18" s="6" t="s">
        <v>295</v>
      </c>
      <c r="B18" s="6" t="s">
        <v>296</v>
      </c>
      <c r="C18" s="6" t="str">
        <f>VLOOKUP(B18,[1]BDD!$A$4:$M$553,2,FALSE)</f>
        <v>Coreless Puromelt KlariSpun High Flow 40'' 5µm (74559)</v>
      </c>
      <c r="D18" s="6" t="str">
        <f>VLOOKUP(B18,[1]BDD!$A$4:$M$603,3,FALSE)</f>
        <v>F1188200</v>
      </c>
      <c r="E18" s="6" t="str">
        <f>VLOOKUP(B18,[1]BDD!$A$4:$M$603,4,FALSE)</f>
        <v>EFILTEC</v>
      </c>
      <c r="F18" s="23">
        <f>VLOOKUP(B18,[1]BDD!$A$4:$M$603,7,FALSE)</f>
        <v>92.25</v>
      </c>
      <c r="G18" s="6">
        <f>VLOOKUP(B18,[1]BDD!$A$4:$M$603,8,FALSE)</f>
        <v>1</v>
      </c>
      <c r="H18" s="23">
        <f>VLOOKUP(B18,[1]BDD!$A$4:$M$603,9,FALSE)</f>
        <v>92.25</v>
      </c>
    </row>
    <row r="19" spans="1:8" x14ac:dyDescent="0.25">
      <c r="A19" s="6" t="s">
        <v>297</v>
      </c>
      <c r="B19" s="6" t="s">
        <v>298</v>
      </c>
      <c r="C19" s="6" t="str">
        <f>VLOOKUP(B19,[1]BDD!$A$4:$M$553,2,FALSE)</f>
        <v>Coreless Puromelt KlariSpun High Flow 40'' 10µm (74560)</v>
      </c>
      <c r="D19" s="6" t="str">
        <f>VLOOKUP(B19,[1]BDD!$A$4:$M$603,3,FALSE)</f>
        <v>F1188200</v>
      </c>
      <c r="E19" s="6" t="str">
        <f>VLOOKUP(B19,[1]BDD!$A$4:$M$603,4,FALSE)</f>
        <v>EFILTEC</v>
      </c>
      <c r="F19" s="23">
        <f>VLOOKUP(B19,[1]BDD!$A$4:$M$603,7,FALSE)</f>
        <v>92.25</v>
      </c>
      <c r="G19" s="6">
        <f>VLOOKUP(B19,[1]BDD!$A$4:$M$603,8,FALSE)</f>
        <v>1</v>
      </c>
      <c r="H19" s="23">
        <f>VLOOKUP(B19,[1]BDD!$A$4:$M$603,9,FALSE)</f>
        <v>92.25</v>
      </c>
    </row>
    <row r="20" spans="1:8" x14ac:dyDescent="0.25">
      <c r="A20" s="6" t="s">
        <v>299</v>
      </c>
      <c r="B20" s="6" t="s">
        <v>300</v>
      </c>
      <c r="C20" s="6" t="str">
        <f>VLOOKUP(B20,[1]BDD!$A$4:$M$553,2,FALSE)</f>
        <v>Coreless Puromelt KlariSpun High Flow 40'' 20µm (74561)</v>
      </c>
      <c r="D20" s="6" t="str">
        <f>VLOOKUP(B20,[1]BDD!$A$4:$M$603,3,FALSE)</f>
        <v>F1188200</v>
      </c>
      <c r="E20" s="6" t="str">
        <f>VLOOKUP(B20,[1]BDD!$A$4:$M$603,4,FALSE)</f>
        <v>EFILTEC</v>
      </c>
      <c r="F20" s="23">
        <f>VLOOKUP(B20,[1]BDD!$A$4:$M$603,7,FALSE)</f>
        <v>92.25</v>
      </c>
      <c r="G20" s="6">
        <f>VLOOKUP(B20,[1]BDD!$A$4:$M$603,8,FALSE)</f>
        <v>1</v>
      </c>
      <c r="H20" s="23">
        <f>VLOOKUP(B20,[1]BDD!$A$4:$M$603,9,FALSE)</f>
        <v>92.25</v>
      </c>
    </row>
    <row r="21" spans="1:8" x14ac:dyDescent="0.25">
      <c r="A21" s="6" t="s">
        <v>301</v>
      </c>
      <c r="B21" s="6" t="s">
        <v>302</v>
      </c>
      <c r="C21" s="6" t="str">
        <f>VLOOKUP(B21,[1]BDD!$A$4:$M$553,2,FALSE)</f>
        <v>Coreless Puromelt KlariSpun High Flow 40'' 40µm (74558)</v>
      </c>
      <c r="D21" s="6" t="str">
        <f>VLOOKUP(B21,[1]BDD!$A$4:$M$603,3,FALSE)</f>
        <v>F1188200</v>
      </c>
      <c r="E21" s="6" t="str">
        <f>VLOOKUP(B21,[1]BDD!$A$4:$M$603,4,FALSE)</f>
        <v>EFILTEC</v>
      </c>
      <c r="F21" s="23">
        <f>VLOOKUP(B21,[1]BDD!$A$4:$M$603,7,FALSE)</f>
        <v>92.25</v>
      </c>
      <c r="G21" s="6">
        <f>VLOOKUP(B21,[1]BDD!$A$4:$M$603,8,FALSE)</f>
        <v>1</v>
      </c>
      <c r="H21" s="23">
        <f>VLOOKUP(B21,[1]BDD!$A$4:$M$603,9,FALSE)</f>
        <v>92.25</v>
      </c>
    </row>
    <row r="22" spans="1:8" x14ac:dyDescent="0.25">
      <c r="F22" s="23"/>
      <c r="H22" s="23"/>
    </row>
    <row r="23" spans="1:8" x14ac:dyDescent="0.25">
      <c r="A23" s="6" t="s">
        <v>303</v>
      </c>
      <c r="B23" s="6" t="s">
        <v>304</v>
      </c>
      <c r="C23" s="6" t="str">
        <f>VLOOKUP(B23,[1]BDD!$A$4:$M$553,2,FALSE)</f>
        <v>EfilClean GA 20'' 0,45µm abs DOE EPDM (plissé fibre de verre / anticolloïdes) (97382)</v>
      </c>
      <c r="D23" s="6" t="str">
        <f>VLOOKUP(B23,[1]BDD!$A$4:$M$603,3,FALSE)</f>
        <v>F1188200</v>
      </c>
      <c r="E23" s="6" t="str">
        <f>VLOOKUP(B23,[1]BDD!$A$4:$M$603,4,FALSE)</f>
        <v>EFILTEC</v>
      </c>
      <c r="F23" s="23">
        <f>VLOOKUP(B23,[1]BDD!$A$4:$M$603,7,FALSE)</f>
        <v>97.35</v>
      </c>
      <c r="G23" s="6">
        <f>VLOOKUP(B23,[1]BDD!$A$4:$M$603,8,FALSE)</f>
        <v>1</v>
      </c>
      <c r="H23" s="23">
        <f>VLOOKUP(B23,[1]BDD!$A$4:$M$603,9,FALSE)</f>
        <v>97.35</v>
      </c>
    </row>
    <row r="24" spans="1:8" x14ac:dyDescent="0.25">
      <c r="A24" s="6" t="s">
        <v>305</v>
      </c>
      <c r="B24" s="6" t="s">
        <v>306</v>
      </c>
      <c r="C24" s="6" t="str">
        <f>VLOOKUP(B24,[1]BDD!$A$4:$M$553,2,FALSE)</f>
        <v>EfilClean GA 20'' 1µm abs DOE EPDM (plissé fibre de verre / anticolloïdes) (97406 ex97407)</v>
      </c>
      <c r="D24" s="6" t="str">
        <f>VLOOKUP(B24,[1]BDD!$A$4:$M$603,3,FALSE)</f>
        <v>F1188200</v>
      </c>
      <c r="E24" s="6" t="str">
        <f>VLOOKUP(B24,[1]BDD!$A$4:$M$603,4,FALSE)</f>
        <v>EFILTEC</v>
      </c>
      <c r="F24" s="23">
        <f>VLOOKUP(B24,[1]BDD!$A$4:$M$603,7,FALSE)</f>
        <v>71.75</v>
      </c>
      <c r="G24" s="6">
        <f>VLOOKUP(B24,[1]BDD!$A$4:$M$603,8,FALSE)</f>
        <v>1</v>
      </c>
      <c r="H24" s="23">
        <f>VLOOKUP(B24,[1]BDD!$A$4:$M$603,9,FALSE)</f>
        <v>71.75</v>
      </c>
    </row>
    <row r="25" spans="1:8" x14ac:dyDescent="0.25">
      <c r="A25" s="6" t="s">
        <v>307</v>
      </c>
      <c r="B25" s="6" t="s">
        <v>308</v>
      </c>
      <c r="C25" s="6" t="str">
        <f>VLOOKUP(B25,[1]BDD!$A$4:$M$553,2,FALSE)</f>
        <v>EfilClean GA 20'' 5µm abs DOE EPDM (plissé fibre de verre / anticolloïdes) (97411)</v>
      </c>
      <c r="D25" s="6" t="str">
        <f>VLOOKUP(B25,[1]BDD!$A$4:$M$603,3,FALSE)</f>
        <v>F1188200</v>
      </c>
      <c r="E25" s="6" t="str">
        <f>VLOOKUP(B25,[1]BDD!$A$4:$M$603,4,FALSE)</f>
        <v>EFILTEC</v>
      </c>
      <c r="F25" s="23">
        <f>VLOOKUP(B25,[1]BDD!$A$4:$M$603,7,FALSE)</f>
        <v>61.5</v>
      </c>
      <c r="G25" s="6">
        <f>VLOOKUP(B25,[1]BDD!$A$4:$M$603,8,FALSE)</f>
        <v>1</v>
      </c>
      <c r="H25" s="23">
        <f>VLOOKUP(B25,[1]BDD!$A$4:$M$603,9,FALSE)</f>
        <v>61.5</v>
      </c>
    </row>
    <row r="26" spans="1:8" x14ac:dyDescent="0.25">
      <c r="F26" s="23"/>
      <c r="H26" s="23"/>
    </row>
    <row r="27" spans="1:8" x14ac:dyDescent="0.25">
      <c r="A27" s="6" t="s">
        <v>309</v>
      </c>
      <c r="B27" s="6" t="s">
        <v>310</v>
      </c>
      <c r="C27" s="6" t="str">
        <f>VLOOKUP(B27,[1]BDD!$A$4:$M$553,2,FALSE)</f>
        <v>KlariSpunGA Excel 20'' 1µm Code 7S (absolu) (97009)</v>
      </c>
      <c r="D27" s="6" t="str">
        <f>VLOOKUP(B27,[1]BDD!$A$4:$M$603,3,FALSE)</f>
        <v>F1188200</v>
      </c>
      <c r="E27" s="6" t="str">
        <f>VLOOKUP(B27,[1]BDD!$A$4:$M$603,4,FALSE)</f>
        <v>EFILTEC</v>
      </c>
      <c r="F27" s="23">
        <f>VLOOKUP(B27,[1]BDD!$A$4:$M$603,7,FALSE)</f>
        <v>34.44</v>
      </c>
      <c r="G27" s="6">
        <f>VLOOKUP(B27,[1]BDD!$A$4:$M$603,8,FALSE)</f>
        <v>1</v>
      </c>
      <c r="H27" s="23">
        <f>VLOOKUP(B27,[1]BDD!$A$4:$M$603,9,FALSE)</f>
        <v>34.44</v>
      </c>
    </row>
    <row r="28" spans="1:8" x14ac:dyDescent="0.25">
      <c r="A28" s="6" t="s">
        <v>311</v>
      </c>
      <c r="B28" s="6" t="s">
        <v>312</v>
      </c>
      <c r="C28" s="6" t="str">
        <f>VLOOKUP(B28,[1]BDD!$A$4:$M$553,2,FALSE)</f>
        <v>KlariSpunGA Entry 20" 3µm Code 7S (nominal) (97685)</v>
      </c>
      <c r="D28" s="6" t="str">
        <f>VLOOKUP(B28,[1]BDD!$A$4:$M$603,3,FALSE)</f>
        <v>F1188200</v>
      </c>
      <c r="E28" s="6" t="str">
        <f>VLOOKUP(B28,[1]BDD!$A$4:$M$603,4,FALSE)</f>
        <v>EFILTEC</v>
      </c>
      <c r="F28" s="23">
        <f>VLOOKUP(B28,[1]BDD!$A$4:$M$603,7,FALSE)</f>
        <v>15.89</v>
      </c>
      <c r="G28" s="6">
        <f>VLOOKUP(B28,[1]BDD!$A$4:$M$603,8,FALSE)</f>
        <v>1</v>
      </c>
      <c r="H28" s="23">
        <f>VLOOKUP(B28,[1]BDD!$A$4:$M$603,9,FALSE)</f>
        <v>15.89</v>
      </c>
    </row>
    <row r="29" spans="1:8" x14ac:dyDescent="0.25">
      <c r="A29" s="6" t="s">
        <v>313</v>
      </c>
      <c r="B29" s="6" t="s">
        <v>314</v>
      </c>
      <c r="C29" s="6" t="str">
        <f>VLOOKUP(B29,[1]BDD!$A$4:$M$553,2,FALSE)</f>
        <v>KlariSpunGA Entry 20" 5µm Code 7S (nominal) (97684)</v>
      </c>
      <c r="D29" s="6" t="str">
        <f>VLOOKUP(B29,[1]BDD!$A$4:$M$603,3,FALSE)</f>
        <v>F1188200</v>
      </c>
      <c r="E29" s="6" t="str">
        <f>VLOOKUP(B29,[1]BDD!$A$4:$M$603,4,FALSE)</f>
        <v>EFILTEC</v>
      </c>
      <c r="F29" s="23">
        <f>VLOOKUP(B29,[1]BDD!$A$4:$M$603,7,FALSE)</f>
        <v>15.89</v>
      </c>
      <c r="G29" s="6">
        <f>VLOOKUP(B29,[1]BDD!$A$4:$M$603,8,FALSE)</f>
        <v>1</v>
      </c>
      <c r="H29" s="23">
        <f>VLOOKUP(B29,[1]BDD!$A$4:$M$603,9,FALSE)</f>
        <v>15.89</v>
      </c>
    </row>
    <row r="30" spans="1:8" x14ac:dyDescent="0.25">
      <c r="A30" s="6" t="s">
        <v>315</v>
      </c>
      <c r="B30" s="6" t="s">
        <v>316</v>
      </c>
      <c r="C30" s="6" t="str">
        <f>VLOOKUP(B30,[1]BDD!$A$4:$M$553,2,FALSE)</f>
        <v>KlariSpunGA Entry 20" 10µm Code 7S (nominal) (97683)</v>
      </c>
      <c r="D30" s="6" t="str">
        <f>VLOOKUP(B30,[1]BDD!$A$4:$M$603,3,FALSE)</f>
        <v>F1188200</v>
      </c>
      <c r="E30" s="6" t="str">
        <f>VLOOKUP(B30,[1]BDD!$A$4:$M$603,4,FALSE)</f>
        <v>EFILTEC</v>
      </c>
      <c r="F30" s="23">
        <f>VLOOKUP(B30,[1]BDD!$A$4:$M$603,7,FALSE)</f>
        <v>15.27</v>
      </c>
      <c r="G30" s="6">
        <f>VLOOKUP(B30,[1]BDD!$A$4:$M$603,8,FALSE)</f>
        <v>1</v>
      </c>
      <c r="H30" s="23">
        <f>VLOOKUP(B30,[1]BDD!$A$4:$M$603,9,FALSE)</f>
        <v>15.27</v>
      </c>
    </row>
    <row r="31" spans="1:8" x14ac:dyDescent="0.25">
      <c r="A31" s="6" t="s">
        <v>317</v>
      </c>
      <c r="B31" s="6" t="s">
        <v>318</v>
      </c>
      <c r="C31" s="6" t="str">
        <f>VLOOKUP(B31,[1]BDD!$A$4:$M$553,2,FALSE)</f>
        <v>KlariSpunGA Entry 20" 20µm Code 7S (nominal) (97243)</v>
      </c>
      <c r="D31" s="6" t="str">
        <f>VLOOKUP(B31,[1]BDD!$A$4:$M$603,3,FALSE)</f>
        <v>F1188200</v>
      </c>
      <c r="E31" s="6" t="str">
        <f>VLOOKUP(B31,[1]BDD!$A$4:$M$603,4,FALSE)</f>
        <v>EFILTEC</v>
      </c>
      <c r="F31" s="23">
        <f>VLOOKUP(B31,[1]BDD!$A$4:$M$603,7,FALSE)</f>
        <v>15.27</v>
      </c>
      <c r="G31" s="6">
        <f>VLOOKUP(B31,[1]BDD!$A$4:$M$603,8,FALSE)</f>
        <v>1</v>
      </c>
      <c r="H31" s="23">
        <f>VLOOKUP(B31,[1]BDD!$A$4:$M$603,9,FALSE)</f>
        <v>15.27</v>
      </c>
    </row>
    <row r="32" spans="1:8" x14ac:dyDescent="0.25">
      <c r="F32" s="23"/>
      <c r="H32" s="23"/>
    </row>
    <row r="33" spans="1:9" x14ac:dyDescent="0.25">
      <c r="A33" s="6" t="s">
        <v>319</v>
      </c>
      <c r="B33" s="6" t="s">
        <v>320</v>
      </c>
      <c r="C33" s="6" t="str">
        <f>VLOOKUP(B33,[1]BDD!$A$4:$M$553,2,FALSE)</f>
        <v>Pentair ChlorPlus 20'' 1µm (charbon actif bois extrudé / réduc. chlore &amp; chloramines) (73378)</v>
      </c>
      <c r="D33" s="6" t="str">
        <f>VLOOKUP(B33,[1]BDD!$A$4:$M$603,3,FALSE)</f>
        <v>F1188200</v>
      </c>
      <c r="E33" s="6" t="str">
        <f>VLOOKUP(B33,[1]BDD!$A$4:$M$603,4,FALSE)</f>
        <v>EFILTEC</v>
      </c>
      <c r="F33" s="23">
        <f>VLOOKUP(B33,[1]BDD!$A$4:$M$603,7,FALSE)</f>
        <v>40.71</v>
      </c>
      <c r="G33" s="6">
        <f>VLOOKUP(B33,[1]BDD!$A$4:$M$603,8,FALSE)</f>
        <v>1</v>
      </c>
      <c r="H33" s="23">
        <f>VLOOKUP(B33,[1]BDD!$A$4:$M$603,9,FALSE)</f>
        <v>40.71</v>
      </c>
    </row>
    <row r="34" spans="1:9" x14ac:dyDescent="0.25">
      <c r="A34" s="6" t="s">
        <v>321</v>
      </c>
      <c r="B34" s="6" t="s">
        <v>322</v>
      </c>
      <c r="C34" s="6" t="str">
        <f>VLOOKUP(B34,[1]BDD!$A$4:$M$553,2,FALSE)</f>
        <v>Pentair RF-Plus 20'' 5µm (charbon actif + fibres synth. / réduc. chlore) (74420)</v>
      </c>
      <c r="D34" s="6" t="str">
        <f>VLOOKUP(B34,[1]BDD!$A$4:$M$603,3,FALSE)</f>
        <v>F1188200</v>
      </c>
      <c r="E34" s="6" t="str">
        <f>VLOOKUP(B34,[1]BDD!$A$4:$M$603,4,FALSE)</f>
        <v>EFILTEC</v>
      </c>
      <c r="F34" s="23">
        <f>VLOOKUP(B34,[1]BDD!$A$4:$M$603,7,FALSE)</f>
        <v>23.01</v>
      </c>
      <c r="G34" s="6">
        <f>VLOOKUP(B34,[1]BDD!$A$4:$M$603,8,FALSE)</f>
        <v>1</v>
      </c>
      <c r="H34" s="23">
        <f>VLOOKUP(B34,[1]BDD!$A$4:$M$603,9,FALSE)</f>
        <v>23.01</v>
      </c>
    </row>
    <row r="35" spans="1:9" x14ac:dyDescent="0.25">
      <c r="F35" s="23"/>
      <c r="H35" s="23"/>
    </row>
    <row r="36" spans="1:9" x14ac:dyDescent="0.25">
      <c r="A36" s="6" t="s">
        <v>323</v>
      </c>
      <c r="B36" s="6" t="s">
        <v>324</v>
      </c>
      <c r="C36" s="6" t="str">
        <f>VLOOKUP(B36,[1]BDD!$A$4:$M$553,2,FALSE)</f>
        <v>Pentair DGD 20" Big Blue 25-1µm (73071)</v>
      </c>
      <c r="D36" s="6" t="str">
        <f>VLOOKUP(B36,[1]BDD!$A$4:$M$603,3,FALSE)</f>
        <v>F1188200</v>
      </c>
      <c r="E36" s="6" t="str">
        <f>VLOOKUP(B36,[1]BDD!$A$4:$M$603,4,FALSE)</f>
        <v>EFILTEC</v>
      </c>
      <c r="F36" s="23">
        <f>VLOOKUP(B36,[1]BDD!$A$4:$M$603,7,FALSE)</f>
        <v>17.84</v>
      </c>
      <c r="G36" s="6">
        <f>VLOOKUP(B36,[1]BDD!$A$4:$M$603,8,FALSE)</f>
        <v>1</v>
      </c>
      <c r="H36" s="23">
        <f>VLOOKUP(B36,[1]BDD!$A$4:$M$603,9,FALSE)</f>
        <v>17.84</v>
      </c>
    </row>
    <row r="37" spans="1:9" x14ac:dyDescent="0.25">
      <c r="A37" s="6" t="s">
        <v>65</v>
      </c>
      <c r="B37" s="6" t="s">
        <v>325</v>
      </c>
      <c r="C37" s="6" t="str">
        <f>VLOOKUP(B37,[1]BDD!$A$4:$M$553,2,FALSE)</f>
        <v>Pentair DGD 20" Big Blue 50-5µm (73070)</v>
      </c>
      <c r="D37" s="6" t="str">
        <f>VLOOKUP(B37,[1]BDD!$A$4:$M$603,3,FALSE)</f>
        <v>F1188200</v>
      </c>
      <c r="E37" s="6" t="str">
        <f>VLOOKUP(B37,[1]BDD!$A$4:$M$603,4,FALSE)</f>
        <v>EFILTEC</v>
      </c>
      <c r="F37" s="23">
        <f>VLOOKUP(B37,[1]BDD!$A$4:$M$603,7,FALSE)</f>
        <v>17.84</v>
      </c>
      <c r="G37" s="6">
        <f>VLOOKUP(B37,[1]BDD!$A$4:$M$603,8,FALSE)</f>
        <v>1</v>
      </c>
      <c r="H37" s="23">
        <f>VLOOKUP(B37,[1]BDD!$A$4:$M$603,9,FALSE)</f>
        <v>17.84</v>
      </c>
    </row>
    <row r="38" spans="1:9" x14ac:dyDescent="0.25">
      <c r="A38" s="6" t="s">
        <v>326</v>
      </c>
      <c r="B38" s="6" t="s">
        <v>327</v>
      </c>
      <c r="C38" s="6" t="str">
        <f>VLOOKUP(B38,[1]BDD!$A$4:$M$553,2,FALSE)</f>
        <v>Pentair DGD 20" Big Blue 75-25µm (73075)</v>
      </c>
      <c r="D38" s="6" t="str">
        <f>VLOOKUP(B38,[1]BDD!$A$4:$M$603,3,FALSE)</f>
        <v>F1188200</v>
      </c>
      <c r="E38" s="6" t="str">
        <f>VLOOKUP(B38,[1]BDD!$A$4:$M$603,4,FALSE)</f>
        <v>EFILTEC</v>
      </c>
      <c r="F38" s="23">
        <f>VLOOKUP(B38,[1]BDD!$A$4:$M$603,7,FALSE)</f>
        <v>17.84</v>
      </c>
      <c r="G38" s="6">
        <f>VLOOKUP(B38,[1]BDD!$A$4:$M$603,8,FALSE)</f>
        <v>1</v>
      </c>
      <c r="H38" s="23">
        <f>VLOOKUP(B38,[1]BDD!$A$4:$M$603,9,FALSE)</f>
        <v>17.84</v>
      </c>
    </row>
    <row r="39" spans="1:9" x14ac:dyDescent="0.25">
      <c r="A39" s="6" t="s">
        <v>328</v>
      </c>
      <c r="B39" s="6" t="s">
        <v>329</v>
      </c>
      <c r="C39" s="6" t="str">
        <f>VLOOKUP(B39,[1]BDD!$A$4:$M$553,2,FALSE)</f>
        <v>Pentair ChlorPlus 20'' Big Blue 1µm (charbon actif bois extrudé / réduc. chlore &amp; chloramines) (355753-43)</v>
      </c>
      <c r="D39" s="6" t="str">
        <f>VLOOKUP(B39,[1]BDD!$A$4:$M$603,3,FALSE)</f>
        <v>F1188200</v>
      </c>
      <c r="E39" s="6" t="str">
        <f>VLOOKUP(B39,[1]BDD!$A$4:$M$603,4,FALSE)</f>
        <v>EFILTEC</v>
      </c>
      <c r="F39" s="23">
        <f>VLOOKUP(B39,[1]BDD!$A$4:$M$603,7,FALSE)</f>
        <v>132.16</v>
      </c>
      <c r="G39" s="6">
        <f>VLOOKUP(B39,[1]BDD!$A$4:$M$603,8,FALSE)</f>
        <v>1</v>
      </c>
      <c r="H39" s="23">
        <f>VLOOKUP(B39,[1]BDD!$A$4:$M$603,9,FALSE)</f>
        <v>132.16</v>
      </c>
    </row>
    <row r="40" spans="1:9" x14ac:dyDescent="0.25">
      <c r="A40" s="6" t="s">
        <v>330</v>
      </c>
      <c r="B40" s="6" t="s">
        <v>331</v>
      </c>
      <c r="C40" s="6" t="str">
        <f>VLOOKUP(B40,[1]BDD!$A$4:$M$553,2,FALSE)</f>
        <v>Pentair RF-Plus 20'' Big Blue 5µm (charbon actif + fibres synth. / réduc. chlore) (74422)</v>
      </c>
      <c r="D40" s="6" t="str">
        <f>VLOOKUP(B40,[1]BDD!$A$4:$M$603,3,FALSE)</f>
        <v>F1188200</v>
      </c>
      <c r="E40" s="6" t="str">
        <f>VLOOKUP(B40,[1]BDD!$A$4:$M$603,4,FALSE)</f>
        <v>EFILTEC</v>
      </c>
      <c r="F40" s="23">
        <f>VLOOKUP(B40,[1]BDD!$A$4:$M$603,7,FALSE)</f>
        <v>55.22</v>
      </c>
      <c r="G40" s="6">
        <f>VLOOKUP(B40,[1]BDD!$A$4:$M$603,8,FALSE)</f>
        <v>1</v>
      </c>
      <c r="H40" s="23">
        <f>VLOOKUP(B40,[1]BDD!$A$4:$M$603,9,FALSE)</f>
        <v>55.22</v>
      </c>
    </row>
    <row r="41" spans="1:9" x14ac:dyDescent="0.25">
      <c r="F41" s="23"/>
      <c r="H41" s="23"/>
    </row>
    <row r="42" spans="1:9" x14ac:dyDescent="0.25">
      <c r="B42" s="6" t="s">
        <v>332</v>
      </c>
      <c r="C42" s="6" t="str">
        <f>VLOOKUP(B42,[1]BDD!$A$4:$M$553,2,FALSE)</f>
        <v>Joint torique Buna-N pour carters Big Blue, cartouches &amp; poches (réf 151122)</v>
      </c>
      <c r="D42" s="6" t="str">
        <f>VLOOKUP(B42,[1]BDD!$A$4:$M$603,3,FALSE)</f>
        <v>F1188200</v>
      </c>
      <c r="E42" s="6" t="str">
        <f>VLOOKUP(B42,[1]BDD!$A$4:$M$603,4,FALSE)</f>
        <v>EFILTEC</v>
      </c>
      <c r="F42" s="23">
        <f>VLOOKUP(B42,[1]BDD!$A$4:$M$603,7,FALSE)</f>
        <v>6.66</v>
      </c>
      <c r="G42" s="6">
        <f>VLOOKUP(B42,[1]BDD!$A$4:$M$603,8,FALSE)</f>
        <v>1</v>
      </c>
      <c r="H42" s="23">
        <f>VLOOKUP(B42,[1]BDD!$A$4:$M$603,9,FALSE)</f>
        <v>6.66</v>
      </c>
    </row>
    <row r="43" spans="1:9" x14ac:dyDescent="0.25">
      <c r="B43" s="6" t="s">
        <v>333</v>
      </c>
      <c r="C43" s="6" t="str">
        <f>VLOOKUP(B43,[1]BDD!$A$4:$M$553,2,FALSE)</f>
        <v>Joint torique EPDM pour carters Standard &amp; 3G (ref 151120)</v>
      </c>
      <c r="D43" s="6" t="str">
        <f>VLOOKUP(B43,[1]BDD!$A$4:$M$603,3,FALSE)</f>
        <v>F1188200</v>
      </c>
      <c r="E43" s="6" t="str">
        <f>VLOOKUP(B43,[1]BDD!$A$4:$M$603,4,FALSE)</f>
        <v>EFILTEC</v>
      </c>
      <c r="F43" s="23">
        <f>VLOOKUP(B43,[1]BDD!$A$4:$M$603,7,FALSE)</f>
        <v>2.67</v>
      </c>
      <c r="G43" s="6">
        <f>VLOOKUP(B43,[1]BDD!$A$4:$M$603,8,FALSE)</f>
        <v>1</v>
      </c>
      <c r="H43" s="23">
        <f>VLOOKUP(B43,[1]BDD!$A$4:$M$603,9,FALSE)</f>
        <v>2.67</v>
      </c>
    </row>
    <row r="44" spans="1:9" x14ac:dyDescent="0.25">
      <c r="B44" s="6" t="s">
        <v>334</v>
      </c>
      <c r="C44" s="6" t="str">
        <f>VLOOKUP(B44,[1]BDD!$A$4:$M$553,2,FALSE)</f>
        <v>Joint torique EPR 178mm pour carter EMS 3 postes (Pall)</v>
      </c>
      <c r="D44" s="6" t="str">
        <f>VLOOKUP(B44,[1]BDD!$A$4:$M$603,3,FALSE)</f>
        <v>F1199801</v>
      </c>
      <c r="E44" s="6" t="str">
        <f>VLOOKUP(B44,[1]BDD!$A$4:$M$603,4,FALSE)</f>
        <v>PALL France</v>
      </c>
      <c r="F44" s="23">
        <f>VLOOKUP(B44,[1]BDD!$A$4:$M$603,7,FALSE)</f>
        <v>25</v>
      </c>
      <c r="G44" s="6">
        <f>VLOOKUP(B44,[1]BDD!$A$4:$M$603,8,FALSE)</f>
        <v>1</v>
      </c>
      <c r="H44" s="23">
        <f>VLOOKUP(B44,[1]BDD!$A$4:$M$603,9,FALSE)</f>
        <v>25</v>
      </c>
    </row>
    <row r="45" spans="1:9" x14ac:dyDescent="0.25">
      <c r="B45" s="6" t="s">
        <v>335</v>
      </c>
      <c r="C45" s="6" t="str">
        <f>VLOOKUP(B45,[1]BDD!$A$4:$M$553,2,FALSE)</f>
        <v>Joint torique EPR 219mm pour carter EMS 5 postes (Pall) + Coreless</v>
      </c>
      <c r="D45" s="6" t="str">
        <f>VLOOKUP(B45,[1]BDD!$A$4:$M$603,3,FALSE)</f>
        <v>F1199801</v>
      </c>
      <c r="E45" s="6" t="str">
        <f>VLOOKUP(B45,[1]BDD!$A$4:$M$603,4,FALSE)</f>
        <v>PALL France</v>
      </c>
      <c r="F45" s="23">
        <f>VLOOKUP(B45,[1]BDD!$A$4:$M$603,7,FALSE)</f>
        <v>28</v>
      </c>
      <c r="G45" s="6">
        <f>VLOOKUP(B45,[1]BDD!$A$4:$M$603,8,FALSE)</f>
        <v>1</v>
      </c>
      <c r="H45" s="23">
        <f>VLOOKUP(B45,[1]BDD!$A$4:$M$603,9,FALSE)</f>
        <v>28</v>
      </c>
    </row>
    <row r="46" spans="1:9" x14ac:dyDescent="0.25">
      <c r="B46" s="24" t="s">
        <v>336</v>
      </c>
      <c r="C46" s="6" t="str">
        <f>VLOOKUP(B46,[1]BDD!$A$4:$M$553,2,FALSE)</f>
        <v>Joint silicoene micro clamp d25 pour tube d13.5 évent carter inox 0,2 &gt;&gt;&gt; JCSIL127217</v>
      </c>
      <c r="D46" s="6" t="str">
        <f>VLOOKUP(B46,[1]BDD!$A$4:$M$603,3,FALSE)</f>
        <v>F1185200</v>
      </c>
      <c r="E46" s="6" t="str">
        <f>VLOOKUP(B46,[1]BDD!$A$4:$M$603,4,FALSE)</f>
        <v>ASEPTIC</v>
      </c>
      <c r="F46" s="23">
        <f>VLOOKUP(B46,[1]BDD!$A$4:$M$603,7,FALSE)</f>
        <v>11.25</v>
      </c>
      <c r="G46" s="6">
        <f>VLOOKUP(B46,[1]BDD!$A$4:$M$603,8,FALSE)</f>
        <v>1.04</v>
      </c>
      <c r="H46" s="23">
        <f>VLOOKUP(B46,[1]BDD!$A$4:$M$603,9,FALSE)</f>
        <v>11.700000000000001</v>
      </c>
      <c r="I46" s="150"/>
    </row>
    <row r="47" spans="1:9" x14ac:dyDescent="0.25">
      <c r="B47" s="24" t="s">
        <v>337</v>
      </c>
      <c r="C47" s="6" t="str">
        <f>VLOOKUP(B47,[1]BDD!$A$4:$M$553,2,FALSE)</f>
        <v>Joint clamp silicone 12.7-21.7 (ferrule d25) pour évent carter inox boucle type PLT12 (ex CLP-MICRO-JNT13.5)</v>
      </c>
      <c r="D47" s="6" t="str">
        <f>VLOOKUP(B47,[1]BDD!$A$4:$M$603,3,FALSE)</f>
        <v>F1200369</v>
      </c>
      <c r="E47" s="6" t="str">
        <f>VLOOKUP(B47,[1]BDD!$A$4:$M$603,4,FALSE)</f>
        <v>ECO</v>
      </c>
      <c r="F47" s="23">
        <f>VLOOKUP(B47,[1]BDD!$A$4:$M$603,7,FALSE)</f>
        <v>5.54</v>
      </c>
      <c r="G47" s="6">
        <f>VLOOKUP(B47,[1]BDD!$A$4:$M$603,8,FALSE)</f>
        <v>1.1000000000000001</v>
      </c>
      <c r="H47" s="23">
        <f>VLOOKUP(B47,[1]BDD!$A$4:$M$603,9,FALSE)</f>
        <v>6.0940000000000003</v>
      </c>
      <c r="I47" s="150"/>
    </row>
    <row r="48" spans="1:9" x14ac:dyDescent="0.25">
      <c r="B48" s="6" t="s">
        <v>338</v>
      </c>
      <c r="C48" s="6" t="str">
        <f>VLOOKUP(B48,[1]BDD!$A$4:$M$553,2,FALSE)</f>
        <v>Joint silicone support cloche carter inox boucle type PLT12</v>
      </c>
      <c r="D48" s="6" t="str">
        <f>VLOOKUP(B48,[1]BDD!$A$4:$M$603,3,FALSE)</f>
        <v>F1199801</v>
      </c>
      <c r="E48" s="6" t="str">
        <f>VLOOKUP(B48,[1]BDD!$A$4:$M$603,4,FALSE)</f>
        <v>PALL France</v>
      </c>
      <c r="F48" s="23">
        <f>VLOOKUP(B48,[1]BDD!$A$4:$M$603,7,FALSE)</f>
        <v>22</v>
      </c>
      <c r="G48" s="6">
        <f>VLOOKUP(B48,[1]BDD!$A$4:$M$603,8,FALSE)</f>
        <v>1</v>
      </c>
      <c r="H48" s="23">
        <f>VLOOKUP(B48,[1]BDD!$A$4:$M$603,9,FALSE)</f>
        <v>22</v>
      </c>
    </row>
    <row r="49" spans="2:8" x14ac:dyDescent="0.25">
      <c r="B49" s="6" t="s">
        <v>339</v>
      </c>
      <c r="C49" s="6" t="str">
        <f>VLOOKUP(B49,[1]BDD!$A$4:$M$553,2,FALSE)</f>
        <v>Joint torique EPR d'étanchéité pour carter PCY27 (Pall)</v>
      </c>
      <c r="D49" s="6" t="str">
        <f>VLOOKUP(B49,[1]BDD!$A$4:$M$603,3,FALSE)</f>
        <v>F1199801</v>
      </c>
      <c r="E49" s="6" t="str">
        <f>VLOOKUP(B49,[1]BDD!$A$4:$M$603,4,FALSE)</f>
        <v>PALL France</v>
      </c>
      <c r="F49" s="23">
        <f>VLOOKUP(B49,[1]BDD!$A$4:$M$603,7,FALSE)</f>
        <v>22</v>
      </c>
      <c r="G49" s="6">
        <f>VLOOKUP(B49,[1]BDD!$A$4:$M$603,8,FALSE)</f>
        <v>1</v>
      </c>
      <c r="H49" s="23">
        <f>VLOOKUP(B49,[1]BDD!$A$4:$M$603,9,FALSE)</f>
        <v>22</v>
      </c>
    </row>
    <row r="50" spans="2:8" x14ac:dyDescent="0.25">
      <c r="B50" s="6" t="s">
        <v>340</v>
      </c>
      <c r="C50" s="6" t="str">
        <f>VLOOKUP(B50,[1]BDD!$A$4:$M$553,2,FALSE)</f>
        <v>Joint torique SILICONE d'étanchéité pour carter PCY27 (Pall)</v>
      </c>
      <c r="D50" s="6" t="str">
        <f>VLOOKUP(B50,[1]BDD!$A$4:$M$603,3,FALSE)</f>
        <v>F1199801</v>
      </c>
      <c r="E50" s="6" t="str">
        <f>VLOOKUP(B50,[1]BDD!$A$4:$M$603,4,FALSE)</f>
        <v>PALL France</v>
      </c>
      <c r="F50" s="23">
        <f>VLOOKUP(B50,[1]BDD!$A$4:$M$603,7,FALSE)</f>
        <v>22</v>
      </c>
      <c r="G50" s="6">
        <f>VLOOKUP(B50,[1]BDD!$A$4:$M$603,8,FALSE)</f>
        <v>1</v>
      </c>
      <c r="H50" s="23">
        <f>VLOOKUP(B50,[1]BDD!$A$4:$M$603,9,FALSE)</f>
        <v>22</v>
      </c>
    </row>
    <row r="51" spans="2:8" x14ac:dyDescent="0.25">
      <c r="B51" s="6" t="s">
        <v>341</v>
      </c>
      <c r="C51" s="6" t="str">
        <f>VLOOKUP(B51,[1]BDD!$A$4:$M$553,2,FALSE)</f>
        <v>Joint clamp silicone 25.4 - 50.4 ASME BPE (Ferrule 50.4) ASME BPE</v>
      </c>
      <c r="D51" s="6" t="str">
        <f>VLOOKUP(B51,[1]BDD!$A$4:$M$603,3,FALSE)</f>
        <v>F1200369</v>
      </c>
      <c r="E51" s="6" t="str">
        <f>VLOOKUP(B51,[1]BDD!$A$4:$M$603,4,FALSE)</f>
        <v>ECO</v>
      </c>
      <c r="F51" s="23">
        <f>VLOOKUP(B51,[1]BDD!$A$4:$M$603,7,FALSE)</f>
        <v>2.31</v>
      </c>
      <c r="G51" s="6">
        <f>VLOOKUP(B51,[1]BDD!$A$4:$M$603,8,FALSE)</f>
        <v>1.04</v>
      </c>
      <c r="H51" s="23">
        <f>VLOOKUP(B51,[1]BDD!$A$4:$M$603,9,FALSE)</f>
        <v>2.4024000000000001</v>
      </c>
    </row>
    <row r="52" spans="2:8" x14ac:dyDescent="0.25">
      <c r="B52" s="6" t="s">
        <v>337</v>
      </c>
      <c r="C52" s="6" t="str">
        <f>VLOOKUP(B52,[1]BDD!$A$4:$M$553,2,FALSE)</f>
        <v>Joint clamp silicone 12.7-21.7 (ferrule d25) pour évent carter inox boucle type PLT12 (ex CLP-MICRO-JNT13.5)</v>
      </c>
      <c r="D52" s="6" t="str">
        <f>VLOOKUP(B52,[1]BDD!$A$4:$M$603,3,FALSE)</f>
        <v>F1200369</v>
      </c>
      <c r="E52" s="6" t="str">
        <f>VLOOKUP(B52,[1]BDD!$A$4:$M$603,4,FALSE)</f>
        <v>ECO</v>
      </c>
      <c r="F52" s="23">
        <f>VLOOKUP(B52,[1]BDD!$A$4:$M$603,7,FALSE)</f>
        <v>5.54</v>
      </c>
      <c r="G52" s="6">
        <f>VLOOKUP(B52,[1]BDD!$A$4:$M$603,8,FALSE)</f>
        <v>1.1000000000000001</v>
      </c>
      <c r="H52" s="23">
        <f>VLOOKUP(B52,[1]BDD!$A$4:$M$603,9,FALSE)</f>
        <v>6.0940000000000003</v>
      </c>
    </row>
    <row r="53" spans="2:8" x14ac:dyDescent="0.25">
      <c r="B53" s="6" t="s">
        <v>342</v>
      </c>
      <c r="C53" s="6" t="str">
        <f>VLOOKUP(B53,[1]BDD!$A$4:$M$553,2,FALSE)</f>
        <v>Membrane EPDM de vanne à membrane Inox 1" - 25.4 ASME BPE</v>
      </c>
      <c r="D53" s="6" t="str">
        <f>VLOOKUP(B53,[1]BDD!$A$4:$M$603,3,FALSE)</f>
        <v>F1200369</v>
      </c>
      <c r="E53" s="6" t="str">
        <f>VLOOKUP(B53,[1]BDD!$A$4:$M$603,4,FALSE)</f>
        <v>ECO</v>
      </c>
      <c r="F53" s="23">
        <f>VLOOKUP(B53,[1]BDD!$A$4:$M$603,7,FALSE)</f>
        <v>24.39</v>
      </c>
      <c r="G53" s="6">
        <f>VLOOKUP(B53,[1]BDD!$A$4:$M$603,8,FALSE)</f>
        <v>1.04</v>
      </c>
      <c r="H53" s="23">
        <f>VLOOKUP(B53,[1]BDD!$A$4:$M$603,9,FALSE)</f>
        <v>25.365600000000001</v>
      </c>
    </row>
    <row r="54" spans="2:8" x14ac:dyDescent="0.25">
      <c r="F54" s="23"/>
      <c r="H54" s="23"/>
    </row>
    <row r="55" spans="2:8" x14ac:dyDescent="0.25">
      <c r="B55" s="6" t="s">
        <v>127</v>
      </c>
      <c r="C55" s="6" t="str">
        <f>VLOOKUP(B55,[1]BDD!$A$4:$M$553,2,FALSE)</f>
        <v>Kit analyse dureté TH flacon unique 20ml pour eau de réseau (1goutte = 1°F)</v>
      </c>
      <c r="D55" s="6" t="str">
        <f>VLOOKUP(B55,[1]BDD!$A$4:$M$603,3,FALSE)</f>
        <v>F1183500</v>
      </c>
      <c r="E55" s="6" t="str">
        <f>VLOOKUP(B55,[1]BDD!$A$4:$M$603,4,FALSE)</f>
        <v>AQUALABO-ORCHIDIS</v>
      </c>
      <c r="F55" s="23">
        <f>VLOOKUP(B55,[1]BDD!$A$4:$M$603,7,FALSE)</f>
        <v>12.7</v>
      </c>
      <c r="G55" s="6">
        <f>VLOOKUP(B55,[1]BDD!$A$4:$M$603,8,FALSE)</f>
        <v>1.18</v>
      </c>
      <c r="H55" s="23">
        <f>VLOOKUP(B55,[1]BDD!$A$4:$M$603,9,FALSE)</f>
        <v>14.985999999999999</v>
      </c>
    </row>
    <row r="56" spans="2:8" x14ac:dyDescent="0.25">
      <c r="B56" s="6" t="s">
        <v>128</v>
      </c>
      <c r="C56" s="6" t="str">
        <f>VLOOKUP(B56,[1]BDD!$A$4:$M$553,2,FALSE)</f>
        <v>Test colorimétrique VISOCOLOR HE Chlore pour concentrations faibles (160 tests) / 920015</v>
      </c>
      <c r="D56" s="6" t="str">
        <f>VLOOKUP(B56,[1]BDD!$A$4:$M$603,3,FALSE)</f>
        <v>F1200379</v>
      </c>
      <c r="E56" s="6" t="str">
        <f>VLOOKUP(B56,[1]BDD!$A$4:$M$603,4,FALSE)</f>
        <v>MACHEREY-NAGEL</v>
      </c>
      <c r="F56" s="23">
        <f>VLOOKUP(B56,[1]BDD!$A$4:$M$603,7,FALSE)</f>
        <v>114.1</v>
      </c>
      <c r="G56" s="6">
        <f>VLOOKUP(B56,[1]BDD!$A$4:$M$603,8,FALSE)</f>
        <v>1.1000000000000001</v>
      </c>
      <c r="H56" s="23">
        <f>VLOOKUP(B56,[1]BDD!$A$4:$M$603,9,FALSE)</f>
        <v>125.51</v>
      </c>
    </row>
    <row r="57" spans="2:8" x14ac:dyDescent="0.25">
      <c r="B57" s="6" t="s">
        <v>343</v>
      </c>
      <c r="C57" s="6" t="str">
        <f>VLOOKUP(B57,[1]BDD!$A$4:$M$553,2,FALSE)</f>
        <v>Test colorimétrique VISOCOLOR HE Chlore, recharge (160 tests) / 920115</v>
      </c>
      <c r="D57" s="6" t="str">
        <f>VLOOKUP(B57,[1]BDD!$A$4:$M$603,3,FALSE)</f>
        <v>F1200379</v>
      </c>
      <c r="E57" s="6" t="str">
        <f>VLOOKUP(B57,[1]BDD!$A$4:$M$603,4,FALSE)</f>
        <v>MACHEREY-NAGEL</v>
      </c>
      <c r="F57" s="23">
        <f>VLOOKUP(B57,[1]BDD!$A$4:$M$603,7,FALSE)</f>
        <v>70.650000000000006</v>
      </c>
      <c r="G57" s="6">
        <f>VLOOKUP(B57,[1]BDD!$A$4:$M$603,8,FALSE)</f>
        <v>1.1000000000000001</v>
      </c>
      <c r="H57" s="23">
        <f>VLOOKUP(B57,[1]BDD!$A$4:$M$603,9,FALSE)</f>
        <v>77.715000000000018</v>
      </c>
    </row>
    <row r="58" spans="2:8" x14ac:dyDescent="0.25">
      <c r="B58" s="6" t="s">
        <v>129</v>
      </c>
      <c r="C58" s="6" t="str">
        <f>VLOOKUP(B58,[1]BDD!$A$4:$M$553,2,FALSE)</f>
        <v>Test Quantofix Peroxyde 100 (100 languettes test semi-quantitatives) / 91312</v>
      </c>
      <c r="D58" s="6" t="str">
        <f>VLOOKUP(B58,[1]BDD!$A$4:$M$603,3,FALSE)</f>
        <v>F1200379</v>
      </c>
      <c r="E58" s="6" t="str">
        <f>VLOOKUP(B58,[1]BDD!$A$4:$M$603,4,FALSE)</f>
        <v>MACHEREY-NAGEL</v>
      </c>
      <c r="F58" s="23">
        <f>VLOOKUP(B58,[1]BDD!$A$4:$M$603,7,FALSE)</f>
        <v>29.7</v>
      </c>
      <c r="G58" s="6">
        <f>VLOOKUP(B58,[1]BDD!$A$4:$M$603,8,FALSE)</f>
        <v>1.1000000000000001</v>
      </c>
      <c r="H58" s="23">
        <f>VLOOKUP(B58,[1]BDD!$A$4:$M$603,9,FALSE)</f>
        <v>32.67</v>
      </c>
    </row>
    <row r="59" spans="2:8" x14ac:dyDescent="0.25">
      <c r="B59" s="6" t="s">
        <v>130</v>
      </c>
      <c r="C59" s="6" t="str">
        <f>VLOOKUP(B59,[1]BDD!$A$4:$M$553,2,FALSE)</f>
        <v>Dialox Active 5L ref. 104149 (Désinfectant acide péracétique 1%)</v>
      </c>
      <c r="D59" s="6" t="str">
        <f>VLOOKUP(B59,[1]BDD!$A$4:$M$603,3,FALSE)</f>
        <v>F1189300</v>
      </c>
      <c r="E59" s="6" t="str">
        <f>VLOOKUP(B59,[1]BDD!$A$4:$M$603,4,FALSE)</f>
        <v>SCHULKE</v>
      </c>
      <c r="F59" s="23">
        <f>VLOOKUP(B59,[1]BDD!$A$4:$M$603,7,FALSE)</f>
        <v>59.76</v>
      </c>
      <c r="G59" s="6">
        <f>VLOOKUP(B59,[1]BDD!$A$4:$M$603,8,FALSE)</f>
        <v>1.3</v>
      </c>
      <c r="H59" s="23">
        <f>VLOOKUP(B59,[1]BDD!$A$4:$M$603,9,FALSE)</f>
        <v>77.688000000000002</v>
      </c>
    </row>
    <row r="60" spans="2:8" x14ac:dyDescent="0.25">
      <c r="F60" s="23"/>
      <c r="H60" s="23"/>
    </row>
    <row r="61" spans="2:8" x14ac:dyDescent="0.25">
      <c r="B61" s="6" t="s">
        <v>344</v>
      </c>
      <c r="C61" s="6" t="str">
        <f>VLOOKUP(B61,[1]BDD!$A$4:$M$553,2,FALSE)</f>
        <v>Kit entretien annuel pour T2000/ECO (1P)</v>
      </c>
      <c r="D61" s="6" t="str">
        <f>VLOOKUP(B61,[1]BDD!$A$4:$M$603,3,FALSE)</f>
        <v>F1191900</v>
      </c>
      <c r="E61" s="6" t="str">
        <f>VLOOKUP(B61,[1]BDD!$A$4:$M$603,4,FALSE)</f>
        <v>HEYL ANALYSIS TECHNOLOGIES</v>
      </c>
      <c r="F61" s="23">
        <f>VLOOKUP(B61,[1]BDD!$A$4:$M$603,7,FALSE)</f>
        <v>170</v>
      </c>
      <c r="G61" s="6">
        <f>VLOOKUP(B61,[1]BDD!$A$4:$M$603,8,FALSE)</f>
        <v>1.02</v>
      </c>
      <c r="H61" s="23">
        <f>VLOOKUP(B61,[1]BDD!$A$4:$M$603,9,FALSE)</f>
        <v>173.4</v>
      </c>
    </row>
    <row r="62" spans="2:8" x14ac:dyDescent="0.25">
      <c r="B62" s="6" t="s">
        <v>345</v>
      </c>
      <c r="C62" s="6" t="str">
        <f>VLOOKUP(B62,[1]BDD!$A$4:$M$553,2,FALSE)</f>
        <v>Kit entretien annuel pour T2000 DUO/CLF/TH SelfClean (2P)</v>
      </c>
      <c r="D62" s="6" t="str">
        <f>VLOOKUP(B62,[1]BDD!$A$4:$M$603,3,FALSE)</f>
        <v>F1191900</v>
      </c>
      <c r="E62" s="6" t="str">
        <f>VLOOKUP(B62,[1]BDD!$A$4:$M$603,4,FALSE)</f>
        <v>HEYL ANALYSIS TECHNOLOGIES</v>
      </c>
      <c r="F62" s="23">
        <f>VLOOKUP(B62,[1]BDD!$A$4:$M$603,7,FALSE)</f>
        <v>265</v>
      </c>
      <c r="G62" s="6">
        <f>VLOOKUP(B62,[1]BDD!$A$4:$M$603,8,FALSE)</f>
        <v>1.02</v>
      </c>
      <c r="H62" s="23">
        <f>VLOOKUP(B62,[1]BDD!$A$4:$M$603,9,FALSE)</f>
        <v>270.3</v>
      </c>
    </row>
    <row r="63" spans="2:8" x14ac:dyDescent="0.25">
      <c r="B63" s="6" t="s">
        <v>346</v>
      </c>
      <c r="C63" s="6" t="str">
        <f>VLOOKUP(B63,[1]BDD!$A$4:$M$553,2,FALSE)</f>
        <v>Kit entretien annuel pour T2000 CLT (3P)</v>
      </c>
      <c r="D63" s="6" t="str">
        <f>VLOOKUP(B63,[1]BDD!$A$4:$M$603,3,FALSE)</f>
        <v>F1191900</v>
      </c>
      <c r="E63" s="6" t="str">
        <f>VLOOKUP(B63,[1]BDD!$A$4:$M$603,4,FALSE)</f>
        <v>HEYL ANALYSIS TECHNOLOGIES</v>
      </c>
      <c r="F63" s="23">
        <f>VLOOKUP(B63,[1]BDD!$A$4:$M$603,7,FALSE)</f>
        <v>359</v>
      </c>
      <c r="G63" s="6">
        <f>VLOOKUP(B63,[1]BDD!$A$4:$M$603,8,FALSE)</f>
        <v>1.02</v>
      </c>
      <c r="H63" s="23">
        <f>VLOOKUP(B63,[1]BDD!$A$4:$M$603,9,FALSE)</f>
        <v>366.18</v>
      </c>
    </row>
    <row r="64" spans="2:8" x14ac:dyDescent="0.25">
      <c r="B64" s="6" t="s">
        <v>347</v>
      </c>
      <c r="C64" s="6" t="str">
        <f>VLOOKUP(B64,[1]BDD!$A$4:$M$553,2,FALSE)</f>
        <v>Kit entretien annuel pour T2000 THCL/CLT SelfClean (4P)</v>
      </c>
      <c r="D64" s="6" t="str">
        <f>VLOOKUP(B64,[1]BDD!$A$4:$M$603,3,FALSE)</f>
        <v>F1191900</v>
      </c>
      <c r="E64" s="6" t="str">
        <f>VLOOKUP(B64,[1]BDD!$A$4:$M$603,4,FALSE)</f>
        <v>HEYL ANALYSIS TECHNOLOGIES</v>
      </c>
      <c r="F64" s="23">
        <f>VLOOKUP(B64,[1]BDD!$A$4:$M$603,7,FALSE)</f>
        <v>461</v>
      </c>
      <c r="G64" s="6">
        <f>VLOOKUP(B64,[1]BDD!$A$4:$M$603,8,FALSE)</f>
        <v>1.02</v>
      </c>
      <c r="H64" s="23">
        <f>VLOOKUP(B64,[1]BDD!$A$4:$M$603,9,FALSE)</f>
        <v>470.22</v>
      </c>
    </row>
    <row r="65" spans="2:8" x14ac:dyDescent="0.25">
      <c r="B65" s="6" t="s">
        <v>126</v>
      </c>
      <c r="C65" s="6" t="str">
        <f>VLOOKUP(B65,[1]BDD!$A$4:$M$553,2,FALSE)</f>
        <v>Réactif Nettoyant/Désinfectant SelfClean pour Testomat 2000 (500ml)</v>
      </c>
      <c r="D65" s="6" t="str">
        <f>VLOOKUP(B65,[1]BDD!$A$4:$M$603,3,FALSE)</f>
        <v>F1191900</v>
      </c>
      <c r="E65" s="6" t="str">
        <f>VLOOKUP(B65,[1]BDD!$A$4:$M$603,4,FALSE)</f>
        <v>HEYL ANALYSIS TECHNOLOGIES</v>
      </c>
      <c r="F65" s="23">
        <f>VLOOKUP(B65,[1]BDD!$A$4:$M$603,7,FALSE)</f>
        <v>62</v>
      </c>
      <c r="G65" s="6">
        <f>VLOOKUP(B65,[1]BDD!$A$4:$M$603,8,FALSE)</f>
        <v>1.02</v>
      </c>
      <c r="H65" s="23">
        <f>VLOOKUP(B65,[1]BDD!$A$4:$M$603,9,FALSE)</f>
        <v>63.24</v>
      </c>
    </row>
    <row r="66" spans="2:8" x14ac:dyDescent="0.25">
      <c r="B66" s="6" t="s">
        <v>124</v>
      </c>
      <c r="C66" s="6" t="str">
        <f>VLOOKUP(B66,[1]BDD!$A$4:$M$553,2,FALSE)</f>
        <v>Réactif Testomat TH (dureté) 2025 - 500 ml</v>
      </c>
      <c r="D66" s="6" t="str">
        <f>VLOOKUP(B66,[1]BDD!$A$4:$M$603,3,FALSE)</f>
        <v>F1191900</v>
      </c>
      <c r="E66" s="6" t="str">
        <f>VLOOKUP(B66,[1]BDD!$A$4:$M$603,4,FALSE)</f>
        <v>HEYL ANALYSIS TECHNOLOGIES</v>
      </c>
      <c r="F66" s="23">
        <f>VLOOKUP(B66,[1]BDD!$A$4:$M$603,7,FALSE)</f>
        <v>92.2</v>
      </c>
      <c r="G66" s="6">
        <f>VLOOKUP(B66,[1]BDD!$A$4:$M$603,8,FALSE)</f>
        <v>1.02</v>
      </c>
      <c r="H66" s="23">
        <f>VLOOKUP(B66,[1]BDD!$A$4:$M$603,9,FALSE)</f>
        <v>94.044000000000011</v>
      </c>
    </row>
    <row r="67" spans="2:8" x14ac:dyDescent="0.25">
      <c r="B67" s="6" t="s">
        <v>348</v>
      </c>
      <c r="C67" s="6" t="str">
        <f>VLOOKUP(B67,[1]BDD!$A$4:$M$553,2,FALSE)</f>
        <v>Kit Réactifs Testomat CL A-B-C (total) pour 2400 analyses</v>
      </c>
      <c r="D67" s="6" t="str">
        <f>VLOOKUP(B67,[1]BDD!$A$4:$M$603,3,FALSE)</f>
        <v>F1191900</v>
      </c>
      <c r="E67" s="6" t="str">
        <f>VLOOKUP(B67,[1]BDD!$A$4:$M$603,4,FALSE)</f>
        <v>HEYL ANALYSIS TECHNOLOGIES</v>
      </c>
      <c r="F67" s="23">
        <f>VLOOKUP(B67,[1]BDD!$A$4:$M$603,7,FALSE)</f>
        <v>248</v>
      </c>
      <c r="G67" s="6">
        <f>VLOOKUP(B67,[1]BDD!$A$4:$M$603,8,FALSE)</f>
        <v>1.02</v>
      </c>
      <c r="H67" s="23">
        <f>VLOOKUP(B67,[1]BDD!$A$4:$M$603,9,FALSE)</f>
        <v>252.96</v>
      </c>
    </row>
    <row r="68" spans="2:8" x14ac:dyDescent="0.25">
      <c r="B68" s="6" t="s">
        <v>125</v>
      </c>
      <c r="C68" s="6" t="str">
        <f>VLOOKUP(B68,[1]BDD!$A$4:$M$553,2,FALSE)</f>
        <v>Kit Réactifs Testomat CL A-B-C (total) pour 1200 analyses</v>
      </c>
      <c r="D68" s="6" t="str">
        <f>VLOOKUP(B68,[1]BDD!$A$4:$M$603,3,FALSE)</f>
        <v>F1191900</v>
      </c>
      <c r="E68" s="6" t="str">
        <f>VLOOKUP(B68,[1]BDD!$A$4:$M$603,4,FALSE)</f>
        <v>HEYL ANALYSIS TECHNOLOGIES</v>
      </c>
      <c r="F68" s="23">
        <f>VLOOKUP(B68,[1]BDD!$A$4:$M$603,7,FALSE)</f>
        <v>132</v>
      </c>
      <c r="G68" s="6">
        <f>VLOOKUP(B68,[1]BDD!$A$4:$M$603,8,FALSE)</f>
        <v>1.02</v>
      </c>
      <c r="H68" s="23">
        <f>VLOOKUP(B68,[1]BDD!$A$4:$M$603,9,FALSE)</f>
        <v>134.64000000000001</v>
      </c>
    </row>
    <row r="69" spans="2:8" x14ac:dyDescent="0.25">
      <c r="B69" s="25" t="s">
        <v>349</v>
      </c>
      <c r="C69" s="6" t="str">
        <f>VLOOKUP(B69,[1]BDD!$A$4:$M$553,2,FALSE)</f>
        <v>Capteur dureté Limitron</v>
      </c>
      <c r="D69" s="6" t="str">
        <f>VLOOKUP(B69,[1]BDD!$A$4:$M$603,3,FALSE)</f>
        <v>F1177600</v>
      </c>
      <c r="E69" s="6" t="str">
        <f>VLOOKUP(B69,[1]BDD!$A$4:$M$603,4,FALSE)</f>
        <v>HERCO</v>
      </c>
      <c r="F69" s="23">
        <f>VLOOKUP(B69,[1]BDD!$A$4:$M$603,7,FALSE)</f>
        <v>36</v>
      </c>
      <c r="G69" s="6">
        <f>VLOOKUP(B69,[1]BDD!$A$4:$M$603,8,FALSE)</f>
        <v>1.02</v>
      </c>
      <c r="H69" s="23">
        <f>VLOOKUP(B69,[1]BDD!$A$4:$M$603,9,FALSE)</f>
        <v>36.72</v>
      </c>
    </row>
    <row r="70" spans="2:8" x14ac:dyDescent="0.25">
      <c r="F70" s="23"/>
      <c r="H70" s="23"/>
    </row>
    <row r="71" spans="2:8" x14ac:dyDescent="0.25">
      <c r="B71" s="6" t="s">
        <v>350</v>
      </c>
      <c r="C71" s="6" t="str">
        <f>VLOOKUP(B71,[1]BDD!$A$4:$M$553,2,FALSE)</f>
        <v>Membrane EPDM pour PEMS II &amp; III/VII (DN06)</v>
      </c>
      <c r="D71" s="6" t="str">
        <f>VLOOKUP(B71,[1]BDD!$A$4:$M$603,3,FALSE)</f>
        <v>F1183300</v>
      </c>
      <c r="E71" s="6" t="str">
        <f>VLOOKUP(B71,[1]BDD!$A$4:$M$603,4,FALSE)</f>
        <v>SERVINOX</v>
      </c>
      <c r="F71" s="23">
        <f>VLOOKUP(B71,[1]BDD!$A$4:$M$603,7,FALSE)</f>
        <v>6.2</v>
      </c>
      <c r="G71" s="6">
        <f>VLOOKUP(B71,[1]BDD!$A$4:$M$603,8,FALSE)</f>
        <v>1.1000000000000001</v>
      </c>
      <c r="H71" s="23">
        <f>VLOOKUP(B71,[1]BDD!$A$4:$M$603,9,FALSE)</f>
        <v>6.8200000000000012</v>
      </c>
    </row>
    <row r="72" spans="2:8" x14ac:dyDescent="0.25">
      <c r="B72" s="6" t="s">
        <v>351</v>
      </c>
      <c r="C72" s="6" t="str">
        <f>VLOOKUP(B72,[1]BDD!$A$4:$M$553,2,FALSE)</f>
        <v>Membrane silicone pour PEMS II, III &amp; VII (DN06) (chaleur)</v>
      </c>
      <c r="D72" s="6" t="str">
        <f>VLOOKUP(B72,[1]BDD!$A$4:$M$603,3,FALSE)</f>
        <v>F1183300</v>
      </c>
      <c r="E72" s="6" t="str">
        <f>VLOOKUP(B72,[1]BDD!$A$4:$M$603,4,FALSE)</f>
        <v>SERVINOX</v>
      </c>
      <c r="F72" s="23">
        <f>VLOOKUP(B72,[1]BDD!$A$4:$M$603,7,FALSE)</f>
        <v>6.2</v>
      </c>
      <c r="G72" s="6">
        <f>VLOOKUP(B72,[1]BDD!$A$4:$M$603,8,FALSE)</f>
        <v>1.1000000000000001</v>
      </c>
      <c r="H72" s="23">
        <f>VLOOKUP(B72,[1]BDD!$A$4:$M$603,9,FALSE)</f>
        <v>6.8200000000000012</v>
      </c>
    </row>
    <row r="73" spans="2:8" x14ac:dyDescent="0.25">
      <c r="F73" s="23"/>
      <c r="H73" s="23"/>
    </row>
    <row r="74" spans="2:8" x14ac:dyDescent="0.25">
      <c r="F74" s="23"/>
      <c r="H74" s="23"/>
    </row>
    <row r="75" spans="2:8" x14ac:dyDescent="0.25">
      <c r="B75" s="6" t="s">
        <v>131</v>
      </c>
      <c r="C75" s="6" t="str">
        <f>VLOOKUP(B75,[1]BDD!$A$4:$M$553,2,FALSE)</f>
        <v>Colonne lumineuse à LED feu fixe R/J/V 24 V série SL7</v>
      </c>
      <c r="D75" s="6" t="str">
        <f>VLOOKUP(B75,[1]BDD!$A$4:$M$603,3,FALSE)</f>
        <v>F1076600</v>
      </c>
      <c r="E75" s="6" t="str">
        <f>VLOOKUP(B75,[1]BDD!$A$4:$M$603,4,FALSE)</f>
        <v>RADIOSPARE</v>
      </c>
      <c r="F75" s="23">
        <f>VLOOKUP(B75,[1]BDD!$A$4:$M$603,7,FALSE)</f>
        <v>235.1</v>
      </c>
      <c r="G75" s="6">
        <f>VLOOKUP(B75,[1]BDD!$A$4:$M$603,8,FALSE)</f>
        <v>1</v>
      </c>
      <c r="H75" s="23">
        <f>VLOOKUP(B75,[1]BDD!$A$4:$M$603,9,FALSE)</f>
        <v>235.1</v>
      </c>
    </row>
    <row r="76" spans="2:8" x14ac:dyDescent="0.25">
      <c r="B76" s="6" t="s">
        <v>132</v>
      </c>
      <c r="C76" s="6" t="str">
        <f>VLOOKUP(B76,[1]BDD!$A$4:$M$553,2,FALSE)</f>
        <v>LED flash fixe Bleu pour colonne lumineuse 24 V série SL7</v>
      </c>
      <c r="D76" s="6" t="str">
        <f>VLOOKUP(B76,[1]BDD!$A$4:$M$603,3,FALSE)</f>
        <v>F1076600</v>
      </c>
      <c r="E76" s="6" t="str">
        <f>VLOOKUP(B76,[1]BDD!$A$4:$M$603,4,FALSE)</f>
        <v>RADIOSPARE</v>
      </c>
      <c r="F76" s="23">
        <f>VLOOKUP(B76,[1]BDD!$A$4:$M$603,7,FALSE)</f>
        <v>63.5</v>
      </c>
      <c r="G76" s="6">
        <f>VLOOKUP(B76,[1]BDD!$A$4:$M$603,8,FALSE)</f>
        <v>1</v>
      </c>
      <c r="H76" s="23">
        <f>VLOOKUP(B76,[1]BDD!$A$4:$M$603,9,FALSE)</f>
        <v>63.5</v>
      </c>
    </row>
    <row r="77" spans="2:8" x14ac:dyDescent="0.25">
      <c r="B77" s="25" t="s">
        <v>135</v>
      </c>
      <c r="C77" s="6" t="str">
        <f>VLOOKUP(B77,[1]BDD!$A$4:$M$553,2,FALSE)</f>
        <v>Système Ares SMS</v>
      </c>
      <c r="D77" s="6" t="str">
        <f>VLOOKUP(B77,[1]BDD!$A$4:$M$603,3,FALSE)</f>
        <v>F1143100</v>
      </c>
      <c r="E77" s="6" t="str">
        <f>VLOOKUP(B77,[1]BDD!$A$4:$M$603,4,FALSE)</f>
        <v>QL3D</v>
      </c>
      <c r="F77" s="23">
        <f>VLOOKUP(B77,[1]BDD!$A$4:$M$603,7,FALSE)</f>
        <v>382.64</v>
      </c>
      <c r="G77" s="6">
        <f>VLOOKUP(B77,[1]BDD!$A$4:$M$603,8,FALSE)</f>
        <v>1.03</v>
      </c>
      <c r="H77" s="23">
        <f>VLOOKUP(B77,[1]BDD!$A$4:$M$603,9,FALSE)</f>
        <v>394.11919999999998</v>
      </c>
    </row>
    <row r="78" spans="2:8" x14ac:dyDescent="0.25">
      <c r="B78" s="6" t="s">
        <v>133</v>
      </c>
      <c r="C78" s="6" t="str">
        <f>VLOOKUP(B78,[1]BDD!$A$4:$M$553,2,FALSE)</f>
        <v>Module de base pour montage vertical 1 côté colonne lumineuse 24 V série SL7</v>
      </c>
      <c r="D78" s="6" t="str">
        <f>VLOOKUP(B78,[1]BDD!$A$4:$M$603,3,FALSE)</f>
        <v>F1076600</v>
      </c>
      <c r="E78" s="6" t="str">
        <f>VLOOKUP(B78,[1]BDD!$A$4:$M$603,4,FALSE)</f>
        <v>RADIOSPARE</v>
      </c>
      <c r="F78" s="23">
        <f>VLOOKUP(B78,[1]BDD!$A$4:$M$603,7,FALSE)</f>
        <v>53.81</v>
      </c>
      <c r="G78" s="6">
        <f>VLOOKUP(B78,[1]BDD!$A$4:$M$603,8,FALSE)</f>
        <v>1</v>
      </c>
      <c r="H78" s="23">
        <f>VLOOKUP(B78,[1]BDD!$A$4:$M$603,9,FALSE)</f>
        <v>53.81</v>
      </c>
    </row>
    <row r="79" spans="2:8" x14ac:dyDescent="0.25">
      <c r="B79" s="6" t="s">
        <v>352</v>
      </c>
      <c r="C79" s="6" t="e">
        <f>VLOOKUP(B79,[1]BDD!$A$4:$M$553,2,FALSE)</f>
        <v>#N/A</v>
      </c>
      <c r="D79" s="6" t="e">
        <f>VLOOKUP(B79,[1]BDD!$A$4:$M$603,3,FALSE)</f>
        <v>#N/A</v>
      </c>
      <c r="E79" s="6" t="e">
        <f>VLOOKUP(B79,[1]BDD!$A$4:$M$603,4,FALSE)</f>
        <v>#N/A</v>
      </c>
      <c r="F79" s="23" t="e">
        <f>VLOOKUP(B79,[1]BDD!$A$4:$M$603,7,FALSE)</f>
        <v>#N/A</v>
      </c>
      <c r="G79" s="6" t="e">
        <f>VLOOKUP(B79,[1]BDD!$A$4:$M$603,8,FALSE)</f>
        <v>#N/A</v>
      </c>
      <c r="H79" s="23" t="e">
        <f>VLOOKUP(B79,[1]BDD!$A$4:$M$603,9,FALSE)</f>
        <v>#N/A</v>
      </c>
    </row>
    <row r="80" spans="2:8" x14ac:dyDescent="0.25">
      <c r="F80" s="23"/>
      <c r="H80" s="23"/>
    </row>
    <row r="81" spans="2:9" x14ac:dyDescent="0.25">
      <c r="B81" s="6" t="s">
        <v>341</v>
      </c>
      <c r="C81" s="6" t="str">
        <f>VLOOKUP(B81,[1]BDD!$A$4:$M$553,2,FALSE)</f>
        <v>Joint clamp silicone 25.4 - 50.4 ASME BPE (Ferrule 50.4) ASME BPE</v>
      </c>
      <c r="D81" s="6" t="str">
        <f>VLOOKUP(B81,[1]BDD!$A$4:$M$603,3,FALSE)</f>
        <v>F1200369</v>
      </c>
      <c r="E81" s="6" t="str">
        <f>VLOOKUP(B81,[1]BDD!$A$4:$M$603,4,FALSE)</f>
        <v>ECO</v>
      </c>
      <c r="F81" s="23">
        <f>VLOOKUP(B81,[1]BDD!$A$4:$M$603,7,FALSE)</f>
        <v>2.31</v>
      </c>
      <c r="G81" s="6">
        <f>VLOOKUP(B81,[1]BDD!$A$4:$M$603,8,FALSE)</f>
        <v>1.04</v>
      </c>
      <c r="H81" s="23">
        <f>VLOOKUP(B81,[1]BDD!$A$4:$M$603,9,FALSE)</f>
        <v>2.4024000000000001</v>
      </c>
    </row>
    <row r="82" spans="2:9" x14ac:dyDescent="0.25">
      <c r="B82" s="6" t="s">
        <v>337</v>
      </c>
      <c r="C82" s="6" t="str">
        <f>VLOOKUP(B82,[1]BDD!$A$4:$M$553,2,FALSE)</f>
        <v>Joint clamp silicone 12.7-21.7 (ferrule d25) pour évent carter inox boucle type PLT12 (ex CLP-MICRO-JNT13.5)</v>
      </c>
      <c r="D82" s="6" t="str">
        <f>VLOOKUP(B82,[1]BDD!$A$4:$M$603,3,FALSE)</f>
        <v>F1200369</v>
      </c>
      <c r="E82" s="6" t="str">
        <f>VLOOKUP(B82,[1]BDD!$A$4:$M$603,4,FALSE)</f>
        <v>ECO</v>
      </c>
      <c r="F82" s="23">
        <f>VLOOKUP(B82,[1]BDD!$A$4:$M$603,7,FALSE)</f>
        <v>5.54</v>
      </c>
      <c r="G82" s="6">
        <f>VLOOKUP(B82,[1]BDD!$A$4:$M$603,8,FALSE)</f>
        <v>1.1000000000000001</v>
      </c>
      <c r="H82" s="23">
        <f>VLOOKUP(B82,[1]BDD!$A$4:$M$603,9,FALSE)</f>
        <v>6.0940000000000003</v>
      </c>
    </row>
    <row r="83" spans="2:9" x14ac:dyDescent="0.25">
      <c r="B83" s="6" t="s">
        <v>342</v>
      </c>
      <c r="C83" s="6" t="str">
        <f>VLOOKUP(B83,[1]BDD!$A$4:$M$553,2,FALSE)</f>
        <v>Membrane EPDM de vanne à membrane Inox 1" - 25.4 ASME BPE</v>
      </c>
      <c r="D83" s="6" t="str">
        <f>VLOOKUP(B83,[1]BDD!$A$4:$M$603,3,FALSE)</f>
        <v>F1200369</v>
      </c>
      <c r="E83" s="6" t="str">
        <f>VLOOKUP(B83,[1]BDD!$A$4:$M$603,4,FALSE)</f>
        <v>ECO</v>
      </c>
      <c r="F83" s="23">
        <f>VLOOKUP(B83,[1]BDD!$A$4:$M$603,7,FALSE)</f>
        <v>24.39</v>
      </c>
      <c r="G83" s="6">
        <f>VLOOKUP(B83,[1]BDD!$A$4:$M$603,8,FALSE)</f>
        <v>1.04</v>
      </c>
      <c r="H83" s="23">
        <f>VLOOKUP(B83,[1]BDD!$A$4:$M$603,9,FALSE)</f>
        <v>25.365600000000001</v>
      </c>
    </row>
    <row r="84" spans="2:9" x14ac:dyDescent="0.25">
      <c r="F84" s="23"/>
      <c r="H84" s="23"/>
    </row>
    <row r="85" spans="2:9" x14ac:dyDescent="0.25">
      <c r="B85" s="6" t="s">
        <v>138</v>
      </c>
      <c r="C85" s="6" t="str">
        <f>VLOOKUP(B85,[1]BDD!$A$4:$M$553,2,FALSE)</f>
        <v>Raccord d'alimentation inox Walther femelle douille cannelée 9mm (générateur)</v>
      </c>
      <c r="D85" s="6" t="str">
        <f>VLOOKUP(B85,[1]BDD!$A$4:$M$603,3,FALSE)</f>
        <v>F1200369</v>
      </c>
      <c r="E85" s="6" t="str">
        <f>VLOOKUP(B85,[1]BDD!$A$4:$M$603,4,FALSE)</f>
        <v>ECO</v>
      </c>
      <c r="F85" s="23">
        <f>VLOOKUP(B85,[1]BDD!$A$4:$M$603,7,FALSE)</f>
        <v>166.75</v>
      </c>
      <c r="G85" s="6">
        <f>VLOOKUP(B85,[1]BDD!$A$4:$M$603,8,FALSE)</f>
        <v>1.04</v>
      </c>
      <c r="H85" s="23">
        <f>VLOOKUP(B85,[1]BDD!$A$4:$M$603,9,FALSE)</f>
        <v>173.42000000000002</v>
      </c>
    </row>
    <row r="86" spans="2:9" x14ac:dyDescent="0.25">
      <c r="F86" s="23"/>
      <c r="H86" s="23"/>
    </row>
    <row r="87" spans="2:9" x14ac:dyDescent="0.25">
      <c r="B87" s="6" t="s">
        <v>136</v>
      </c>
      <c r="C87" s="6" t="str">
        <f>VLOOKUP(B87,[1]BDD!$A$4:$M$553,2,FALSE)</f>
        <v>Relais d'interface Finder 24V c.c., 2 RT, montage Rail DIN, série , 4C Series</v>
      </c>
      <c r="D87" s="6" t="str">
        <f>VLOOKUP(B87,[1]BDD!$A$4:$M$603,3,FALSE)</f>
        <v>F1076600</v>
      </c>
      <c r="E87" s="6" t="str">
        <f>VLOOKUP(B87,[1]BDD!$A$4:$M$603,4,FALSE)</f>
        <v>RADIOSPARE</v>
      </c>
      <c r="F87" s="23">
        <f>VLOOKUP(B87,[1]BDD!$A$4:$M$603,7,FALSE)</f>
        <v>18.39</v>
      </c>
      <c r="G87" s="6">
        <f>VLOOKUP(B87,[1]BDD!$A$4:$M$603,8,FALSE)</f>
        <v>1</v>
      </c>
      <c r="H87" s="23">
        <f>VLOOKUP(B87,[1]BDD!$A$4:$M$603,9,FALSE)</f>
        <v>18.39</v>
      </c>
    </row>
    <row r="89" spans="2:9" x14ac:dyDescent="0.25">
      <c r="B89" s="148" t="s">
        <v>140</v>
      </c>
      <c r="C89" s="6" t="str">
        <f>VLOOKUP(B89,[2]BDD!$A$5:$L$100,2,FALSE)</f>
        <v>Tuyau silicone OD 14.4x3.2 blanc (le m., par couronne de 25 m) (CeCon 3000)</v>
      </c>
      <c r="D89" s="6" t="str">
        <f>VLOOKUP(B89,[2]BDD!$A$5:$L$100,3,FALSE)</f>
        <v>F1200373</v>
      </c>
      <c r="E89" s="6" t="str">
        <f>VLOOKUP(B89,[2]BDD!$A$5:$L$100,4,FALSE)</f>
        <v>DWA</v>
      </c>
      <c r="F89" s="23">
        <f>VLOOKUP(B89,[2]BDD!$A$5:$L$100,7,FALSE)</f>
        <v>16.373000000000001</v>
      </c>
      <c r="G89" s="6">
        <f>VLOOKUP(B89,[2]BDD!$A$5:$L$100,8,FALSE)</f>
        <v>1.05</v>
      </c>
      <c r="H89" s="23">
        <f>VLOOKUP(B89,[2]BDD!$A$5:$L$100,9,FALSE)</f>
        <v>17.191650000000003</v>
      </c>
      <c r="I89" s="22">
        <f>VLOOKUP(B89,[2]BDD!$A$5:$L$100,12,FALSE)</f>
        <v>2026</v>
      </c>
    </row>
    <row r="90" spans="2:9" x14ac:dyDescent="0.25">
      <c r="B90" s="148" t="s">
        <v>141</v>
      </c>
      <c r="C90" s="6" t="str">
        <f>VLOOKUP(B90,[2]BDD!$A$5:$L$100,2,FALSE)</f>
        <v>Connecteur en T, PP 7,9 mm (CeCon 3000)</v>
      </c>
      <c r="D90" s="6" t="str">
        <f>VLOOKUP(B90,[2]BDD!$A$5:$L$100,3,FALSE)</f>
        <v>F1200373</v>
      </c>
      <c r="E90" s="6" t="str">
        <f>VLOOKUP(B90,[2]BDD!$A$5:$L$100,4,FALSE)</f>
        <v>DWA</v>
      </c>
      <c r="F90" s="23">
        <f>VLOOKUP(B90,[2]BDD!$A$5:$L$100,7,FALSE)</f>
        <v>2.3144100000000001</v>
      </c>
      <c r="G90" s="6">
        <f>VLOOKUP(B90,[2]BDD!$A$5:$L$100,8,FALSE)</f>
        <v>1.05</v>
      </c>
      <c r="H90" s="23">
        <f>VLOOKUP(B90,[2]BDD!$A$5:$L$100,9,FALSE)</f>
        <v>2.4301305000000002</v>
      </c>
      <c r="I90" s="22">
        <f>VLOOKUP(B90,[2]BDD!$A$5:$L$100,12,FALSE)</f>
        <v>2026</v>
      </c>
    </row>
    <row r="91" spans="2:9" x14ac:dyDescent="0.25">
      <c r="B91" s="148" t="s">
        <v>142</v>
      </c>
      <c r="C91" s="6" t="str">
        <f>VLOOKUP(B91,[2]BDD!$A$5:$L$100,2,FALSE)</f>
        <v>Clip 16.5, inox (CeCon 3000)</v>
      </c>
      <c r="D91" s="6" t="str">
        <f>VLOOKUP(B91,[2]BDD!$A$5:$L$100,3,FALSE)</f>
        <v>F1200373</v>
      </c>
      <c r="E91" s="6" t="str">
        <f>VLOOKUP(B91,[2]BDD!$A$5:$L$100,4,FALSE)</f>
        <v>DWA</v>
      </c>
      <c r="F91" s="23">
        <f>VLOOKUP(B91,[2]BDD!$A$5:$L$100,7,FALSE)</f>
        <v>1.7849999999999997</v>
      </c>
      <c r="G91" s="6">
        <f>VLOOKUP(B91,[2]BDD!$A$5:$L$100,8,FALSE)</f>
        <v>1.05</v>
      </c>
      <c r="H91" s="23">
        <f>VLOOKUP(B91,[2]BDD!$A$5:$L$100,9,FALSE)</f>
        <v>1.8742499999999997</v>
      </c>
      <c r="I91" s="22">
        <f>VLOOKUP(B91,[2]BDD!$A$5:$L$100,12,FALSE)</f>
        <v>2026</v>
      </c>
    </row>
    <row r="92" spans="2:9" x14ac:dyDescent="0.25">
      <c r="B92" s="148" t="s">
        <v>143</v>
      </c>
      <c r="C92" s="6" t="str">
        <f>VLOOKUP(B92,[2]BDD!$A$5:$L$100,2,FALSE)</f>
        <v>DN50 F pour tuyau 8 mm (raccords BIB / CeCon 3000)</v>
      </c>
      <c r="D92" s="6" t="str">
        <f>VLOOKUP(B92,[2]BDD!$A$5:$L$100,3,FALSE)</f>
        <v>F1200521</v>
      </c>
      <c r="E92" s="6" t="str">
        <f>VLOOKUP(B92,[2]BDD!$A$5:$L$100,4,FALSE)</f>
        <v>CDF Corporation</v>
      </c>
      <c r="F92" s="23">
        <f>VLOOKUP(B92,[2]BDD!$A$5:$L$100,7,FALSE)</f>
        <v>66.739999999999995</v>
      </c>
      <c r="G92" s="6">
        <f>VLOOKUP(B92,[2]BDD!$A$5:$L$100,8,FALSE)</f>
        <v>1</v>
      </c>
      <c r="H92" s="23">
        <f>VLOOKUP(B92,[2]BDD!$A$5:$L$100,9,FALSE)</f>
        <v>66.739999999999995</v>
      </c>
      <c r="I92" s="22">
        <f>VLOOKUP(B92,[2]BDD!$A$5:$L$100,12,FALSE)</f>
        <v>2025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D4AD-AF22-4293-9B2E-485F6B0D6A9A}">
  <dimension ref="A1:I13"/>
  <sheetViews>
    <sheetView workbookViewId="0">
      <selection activeCell="G14" sqref="G14"/>
    </sheetView>
  </sheetViews>
  <sheetFormatPr baseColWidth="10" defaultColWidth="11.44140625" defaultRowHeight="14.4" x14ac:dyDescent="0.3"/>
  <cols>
    <col min="1" max="1" width="14" customWidth="1"/>
    <col min="2" max="2" width="6.88671875" bestFit="1" customWidth="1"/>
    <col min="3" max="3" width="5.109375" customWidth="1"/>
    <col min="4" max="4" width="14.6640625" customWidth="1"/>
    <col min="5" max="5" width="20.44140625" customWidth="1"/>
    <col min="6" max="7" width="20" customWidth="1"/>
    <col min="8" max="8" width="20.44140625" customWidth="1"/>
    <col min="9" max="9" width="20.109375" customWidth="1"/>
  </cols>
  <sheetData>
    <row r="1" spans="1:9" x14ac:dyDescent="0.3">
      <c r="A1" s="2" t="s">
        <v>52</v>
      </c>
      <c r="B1" t="s">
        <v>115</v>
      </c>
      <c r="D1" s="2" t="s">
        <v>353</v>
      </c>
      <c r="E1" s="2" t="s">
        <v>60</v>
      </c>
      <c r="F1" s="2" t="s">
        <v>354</v>
      </c>
      <c r="G1" s="2" t="s">
        <v>355</v>
      </c>
      <c r="H1" s="2" t="s">
        <v>356</v>
      </c>
      <c r="I1" s="2" t="s">
        <v>357</v>
      </c>
    </row>
    <row r="2" spans="1:9" x14ac:dyDescent="0.3">
      <c r="A2" t="s">
        <v>353</v>
      </c>
      <c r="B2">
        <v>1</v>
      </c>
      <c r="D2" t="s">
        <v>295</v>
      </c>
      <c r="E2" t="s">
        <v>323</v>
      </c>
      <c r="F2" t="s">
        <v>286</v>
      </c>
      <c r="G2" t="s">
        <v>286</v>
      </c>
      <c r="H2" t="s">
        <v>286</v>
      </c>
      <c r="I2" t="s">
        <v>309</v>
      </c>
    </row>
    <row r="3" spans="1:9" x14ac:dyDescent="0.3">
      <c r="A3" t="s">
        <v>60</v>
      </c>
      <c r="B3">
        <v>1</v>
      </c>
      <c r="D3" t="s">
        <v>297</v>
      </c>
      <c r="E3" t="s">
        <v>65</v>
      </c>
      <c r="F3" t="s">
        <v>288</v>
      </c>
      <c r="G3" t="s">
        <v>288</v>
      </c>
      <c r="H3" t="s">
        <v>288</v>
      </c>
      <c r="I3" t="s">
        <v>358</v>
      </c>
    </row>
    <row r="4" spans="1:9" x14ac:dyDescent="0.3">
      <c r="A4" t="s">
        <v>62</v>
      </c>
      <c r="B4">
        <v>1</v>
      </c>
      <c r="D4" t="s">
        <v>299</v>
      </c>
      <c r="E4" t="s">
        <v>326</v>
      </c>
      <c r="F4" t="s">
        <v>71</v>
      </c>
      <c r="G4" t="s">
        <v>71</v>
      </c>
      <c r="H4" t="s">
        <v>71</v>
      </c>
      <c r="I4" t="s">
        <v>313</v>
      </c>
    </row>
    <row r="5" spans="1:9" x14ac:dyDescent="0.3">
      <c r="A5" t="s">
        <v>359</v>
      </c>
      <c r="B5">
        <v>3</v>
      </c>
      <c r="D5" t="s">
        <v>301</v>
      </c>
      <c r="E5" t="s">
        <v>328</v>
      </c>
      <c r="F5" t="s">
        <v>291</v>
      </c>
      <c r="G5" t="s">
        <v>291</v>
      </c>
      <c r="H5" t="s">
        <v>291</v>
      </c>
      <c r="I5" t="s">
        <v>315</v>
      </c>
    </row>
    <row r="6" spans="1:9" x14ac:dyDescent="0.3">
      <c r="A6" t="s">
        <v>360</v>
      </c>
      <c r="B6">
        <v>5</v>
      </c>
      <c r="E6" t="s">
        <v>330</v>
      </c>
      <c r="F6" t="s">
        <v>293</v>
      </c>
      <c r="G6" t="s">
        <v>293</v>
      </c>
      <c r="H6" t="s">
        <v>293</v>
      </c>
      <c r="I6" t="s">
        <v>317</v>
      </c>
    </row>
    <row r="7" spans="1:9" x14ac:dyDescent="0.3">
      <c r="A7" t="s">
        <v>361</v>
      </c>
      <c r="B7">
        <v>1</v>
      </c>
      <c r="F7" t="s">
        <v>66</v>
      </c>
      <c r="G7" t="s">
        <v>66</v>
      </c>
      <c r="H7" t="s">
        <v>66</v>
      </c>
    </row>
    <row r="8" spans="1:9" x14ac:dyDescent="0.3">
      <c r="F8" t="s">
        <v>282</v>
      </c>
      <c r="G8" t="s">
        <v>282</v>
      </c>
      <c r="H8" t="s">
        <v>282</v>
      </c>
    </row>
    <row r="9" spans="1:9" x14ac:dyDescent="0.3">
      <c r="F9" t="s">
        <v>319</v>
      </c>
      <c r="G9" t="s">
        <v>319</v>
      </c>
      <c r="H9" t="s">
        <v>319</v>
      </c>
    </row>
    <row r="10" spans="1:9" x14ac:dyDescent="0.3">
      <c r="F10" t="s">
        <v>321</v>
      </c>
      <c r="G10" t="s">
        <v>321</v>
      </c>
      <c r="H10" t="s">
        <v>321</v>
      </c>
    </row>
    <row r="11" spans="1:9" x14ac:dyDescent="0.3">
      <c r="F11" t="s">
        <v>303</v>
      </c>
      <c r="G11" t="s">
        <v>303</v>
      </c>
      <c r="H11" t="s">
        <v>303</v>
      </c>
    </row>
    <row r="12" spans="1:9" x14ac:dyDescent="0.3">
      <c r="F12" t="s">
        <v>305</v>
      </c>
      <c r="G12" t="s">
        <v>305</v>
      </c>
      <c r="H12" t="s">
        <v>305</v>
      </c>
    </row>
    <row r="13" spans="1:9" x14ac:dyDescent="0.3">
      <c r="F13" t="s">
        <v>307</v>
      </c>
      <c r="G13" t="s">
        <v>307</v>
      </c>
      <c r="H13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1b50f7-8e4a-480b-b780-a66a0d20b5bc" xsi:nil="true"/>
    <lcf76f155ced4ddcb4097134ff3c332f xmlns="d3a21707-f188-4306-bca9-61effecd7be5">
      <Terms xmlns="http://schemas.microsoft.com/office/infopath/2007/PartnerControls"/>
    </lcf76f155ced4ddcb4097134ff3c332f>
    <Image xmlns="d3a21707-f188-4306-bca9-61effecd7be5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57E73D50805448ADDF354447094F2" ma:contentTypeVersion="13" ma:contentTypeDescription="Crée un document." ma:contentTypeScope="" ma:versionID="9f34abd8ed7ae44d9df82300ebf86cbb">
  <xsd:schema xmlns:xsd="http://www.w3.org/2001/XMLSchema" xmlns:xs="http://www.w3.org/2001/XMLSchema" xmlns:p="http://schemas.microsoft.com/office/2006/metadata/properties" xmlns:ns2="d3a21707-f188-4306-bca9-61effecd7be5" xmlns:ns3="341b50f7-8e4a-480b-b780-a66a0d20b5bc" targetNamespace="http://schemas.microsoft.com/office/2006/metadata/properties" ma:root="true" ma:fieldsID="a4ec688fdf84b1258f00fbeff5cfcfda" ns2:_="" ns3:_="">
    <xsd:import namespace="d3a21707-f188-4306-bca9-61effecd7be5"/>
    <xsd:import namespace="341b50f7-8e4a-480b-b780-a66a0d20b5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Im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21707-f188-4306-bca9-61effecd7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afa3ded-54ed-4516-83d4-7194a3cd4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Image" ma:index="20" nillable="true" ma:displayName="Image" ma:format="Thumbnail" ma:internalName="Imag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b50f7-8e4a-480b-b780-a66a0d20b5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36e3a5-ae6b-4477-95ad-7f3d4092ac42}" ma:internalName="TaxCatchAll" ma:showField="CatchAllData" ma:web="341b50f7-8e4a-480b-b780-a66a0d20b5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4ED9D-03BB-470D-AA7B-1A1E058BA6DB}">
  <ds:schemaRefs>
    <ds:schemaRef ds:uri="http://schemas.microsoft.com/office/2006/metadata/properties"/>
    <ds:schemaRef ds:uri="http://schemas.microsoft.com/office/infopath/2007/PartnerControls"/>
    <ds:schemaRef ds:uri="341b50f7-8e4a-480b-b780-a66a0d20b5bc"/>
    <ds:schemaRef ds:uri="d3a21707-f188-4306-bca9-61effecd7be5"/>
  </ds:schemaRefs>
</ds:datastoreItem>
</file>

<file path=customXml/itemProps2.xml><?xml version="1.0" encoding="utf-8"?>
<ds:datastoreItem xmlns:ds="http://schemas.openxmlformats.org/officeDocument/2006/customXml" ds:itemID="{9DBEE18A-B912-4760-98D3-463E22971E3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E20CF35-67CF-4207-890E-D7B97B422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21707-f188-4306-bca9-61effecd7be5"/>
    <ds:schemaRef ds:uri="341b50f7-8e4a-480b-b780-a66a0d20b5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2C94778-EEB6-4D89-86AC-47FA00A189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11</vt:i4>
      </vt:variant>
    </vt:vector>
  </HeadingPairs>
  <TitlesOfParts>
    <vt:vector size="18" baseType="lpstr">
      <vt:lpstr>Installation</vt:lpstr>
      <vt:lpstr>Consos MeS</vt:lpstr>
      <vt:lpstr>REV_AN</vt:lpstr>
      <vt:lpstr>REV_SEM</vt:lpstr>
      <vt:lpstr>listes</vt:lpstr>
      <vt:lpstr>filtres</vt:lpstr>
      <vt:lpstr>carters</vt:lpstr>
      <vt:lpstr>Big_Blue</vt:lpstr>
      <vt:lpstr>Carter</vt:lpstr>
      <vt:lpstr>Coreless</vt:lpstr>
      <vt:lpstr>EMS_03</vt:lpstr>
      <vt:lpstr>EMS_05</vt:lpstr>
      <vt:lpstr>PCY_27</vt:lpstr>
      <vt:lpstr>Standard</vt:lpstr>
      <vt:lpstr>'Consos MeS'!Zone_d_impression</vt:lpstr>
      <vt:lpstr>Installation!Zone_d_impression</vt:lpstr>
      <vt:lpstr>REV_AN!Zone_d_impression</vt:lpstr>
      <vt:lpstr>REV_SEM!Zone_d_impression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TTE Formulaire demande consommables mise en service</dc:title>
  <dc:subject/>
  <dc:creator>Benoit.GIRAUD@hemotech.fr</dc:creator>
  <cp:keywords>TTE logistique consommables mise en service révisions</cp:keywords>
  <dc:description/>
  <cp:lastModifiedBy>Thomas WERBROUCK</cp:lastModifiedBy>
  <cp:revision/>
  <dcterms:created xsi:type="dcterms:W3CDTF">2015-04-20T12:18:03Z</dcterms:created>
  <dcterms:modified xsi:type="dcterms:W3CDTF">2026-05-07T15:35:44Z</dcterms:modified>
  <cp:category>Traitement d'eau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0x0101003B357E73D50805448ADDF354447094F2</vt:lpwstr>
  </property>
  <property fmtid="{D5CDD505-2E9C-101B-9397-08002B2CF9AE}" pid="3" name="MediaServiceImageTags">
    <vt:lpwstr/>
  </property>
</Properties>
</file>