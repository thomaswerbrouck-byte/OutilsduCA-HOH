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4"/>
  <workbookPr/>
  <mc:AlternateContent xmlns:mc="http://schemas.openxmlformats.org/markup-compatibility/2006">
    <mc:Choice Requires="x15">
      <x15ac:absPath xmlns:x15ac="http://schemas.microsoft.com/office/spreadsheetml/2010/11/ac" url="https://hemotech.sharepoint.com/Plannings/"/>
    </mc:Choice>
  </mc:AlternateContent>
  <xr:revisionPtr revIDLastSave="4221" documentId="11_2376E810C2AFEDE9D684E996EC5057C5FDE8F822" xr6:coauthVersionLast="47" xr6:coauthVersionMax="47" xr10:uidLastSave="{EFB6DE8D-63CF-6343-993A-5DDFAF01597C}"/>
  <bookViews>
    <workbookView xWindow="-108" yWindow="-108" windowWidth="23256" windowHeight="13896" tabRatio="805" firstSheet="5" activeTab="5" xr2:uid="{00000000-000D-0000-FFFF-FFFF00000000}"/>
  </bookViews>
  <sheets>
    <sheet name="Janvier 2026" sheetId="1" r:id="rId1"/>
    <sheet name="Février 2026" sheetId="2" r:id="rId2"/>
    <sheet name="Mars 2026" sheetId="3" r:id="rId3"/>
    <sheet name="Avril 2026" sheetId="4" r:id="rId4"/>
    <sheet name="Mai 2026" sheetId="5" r:id="rId5"/>
    <sheet name="Juin 2026" sheetId="6" r:id="rId6"/>
    <sheet name="Juillet 2026" sheetId="7" r:id="rId7"/>
    <sheet name="Août 2026" sheetId="8" r:id="rId8"/>
    <sheet name="Septembre 2026" sheetId="9" r:id="rId9"/>
    <sheet name="Octobre 2026" sheetId="10" r:id="rId10"/>
    <sheet name="Novembre 2026" sheetId="11" r:id="rId11"/>
    <sheet name="Décembre 2026" sheetId="12" r:id="rId12"/>
    <sheet name="Codes couleur" sheetId="13" r:id="rId13"/>
    <sheet name="Récap par Tech" sheetId="14" r:id="rId14"/>
  </sheets>
  <definedNames>
    <definedName name="_xlnm._FilterDatabase" localSheetId="0" hidden="1">'Janvier 2026'!$L$2:$U$41</definedName>
    <definedName name="_xlnm._FilterDatabase" localSheetId="4" hidden="1">'Mai 2026'!$L$2:$T$7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2" l="1"/>
  <c r="D27" i="12"/>
  <c r="D19" i="12"/>
  <c r="D11" i="12"/>
  <c r="D40" i="12"/>
  <c r="D8" i="12"/>
  <c r="D9" i="12"/>
  <c r="D8" i="11"/>
  <c r="D9" i="11"/>
  <c r="D11" i="11"/>
  <c r="D16" i="10"/>
  <c r="D17" i="10"/>
  <c r="D19" i="10"/>
  <c r="D8" i="10"/>
  <c r="D9" i="10"/>
  <c r="D11" i="10"/>
  <c r="D16" i="8"/>
  <c r="D17" i="8"/>
  <c r="D19" i="8"/>
  <c r="D8" i="8"/>
  <c r="D9" i="8"/>
  <c r="D11" i="8"/>
  <c r="D12" i="8"/>
  <c r="D8" i="9"/>
  <c r="D9" i="9"/>
  <c r="D11" i="9"/>
  <c r="D5" i="6"/>
  <c r="D6" i="6"/>
  <c r="D7" i="6"/>
  <c r="D8" i="6"/>
  <c r="D9" i="6"/>
  <c r="D11" i="6"/>
  <c r="D12" i="6"/>
  <c r="D13" i="6"/>
  <c r="D14" i="6"/>
  <c r="D15" i="6"/>
  <c r="D16" i="6"/>
  <c r="D17" i="6"/>
  <c r="D19" i="6"/>
  <c r="D20" i="6"/>
  <c r="D21" i="6"/>
  <c r="D22" i="6"/>
  <c r="D23" i="6"/>
  <c r="D24" i="6"/>
  <c r="D25" i="6"/>
  <c r="D27" i="6"/>
  <c r="D28" i="6"/>
  <c r="D29" i="6"/>
  <c r="D30" i="6"/>
  <c r="D31" i="6"/>
  <c r="D32" i="6"/>
  <c r="D33" i="6"/>
  <c r="D3" i="7"/>
  <c r="D27" i="7"/>
  <c r="D28" i="7"/>
  <c r="D29" i="7"/>
  <c r="D30" i="7"/>
  <c r="D31" i="7"/>
  <c r="D32" i="7"/>
  <c r="D33" i="7"/>
  <c r="D35" i="7"/>
  <c r="D36" i="7"/>
  <c r="D37" i="7"/>
  <c r="D38" i="7"/>
  <c r="D39" i="7"/>
  <c r="D19" i="5"/>
  <c r="D20" i="5"/>
  <c r="D21" i="5"/>
  <c r="D22" i="5"/>
  <c r="D23" i="5"/>
  <c r="D24" i="5"/>
  <c r="D25" i="5"/>
  <c r="D27" i="5"/>
  <c r="D28" i="5"/>
  <c r="D29" i="5"/>
  <c r="D30" i="5"/>
  <c r="D31" i="5"/>
  <c r="D32" i="5"/>
  <c r="D33" i="5"/>
  <c r="D11" i="5"/>
  <c r="D19" i="7"/>
  <c r="D17" i="7"/>
  <c r="D16" i="7"/>
  <c r="D11" i="7"/>
  <c r="D9" i="7"/>
  <c r="D8" i="7"/>
  <c r="D41" i="12"/>
  <c r="K24" i="14"/>
  <c r="K25" i="14"/>
  <c r="K26" i="14"/>
  <c r="K27" i="14"/>
  <c r="K28" i="14"/>
  <c r="K29" i="14"/>
  <c r="K30" i="14"/>
  <c r="K23" i="14"/>
  <c r="D40" i="4"/>
  <c r="D41" i="4"/>
  <c r="D3" i="5"/>
  <c r="D4" i="5"/>
  <c r="D5" i="5"/>
  <c r="D6" i="5"/>
  <c r="D6" i="4"/>
  <c r="D7" i="4"/>
  <c r="D9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7" i="4"/>
  <c r="D28" i="4"/>
  <c r="D29" i="4"/>
  <c r="D30" i="4"/>
  <c r="D31" i="4"/>
  <c r="D32" i="4"/>
  <c r="D33" i="4"/>
  <c r="D35" i="4"/>
  <c r="D36" i="4"/>
  <c r="D37" i="4"/>
  <c r="D19" i="1"/>
  <c r="D20" i="1"/>
  <c r="D21" i="1"/>
  <c r="D22" i="1"/>
  <c r="D23" i="1"/>
  <c r="D23" i="14"/>
  <c r="D24" i="14"/>
  <c r="D26" i="14"/>
  <c r="B11" i="12"/>
  <c r="B19" i="12"/>
  <c r="B27" i="12"/>
  <c r="D5" i="12"/>
  <c r="D6" i="12"/>
  <c r="D7" i="12"/>
  <c r="D12" i="12"/>
  <c r="D13" i="12"/>
  <c r="D14" i="12"/>
  <c r="D15" i="12"/>
  <c r="D16" i="12"/>
  <c r="D17" i="12"/>
  <c r="D20" i="12"/>
  <c r="D21" i="12"/>
  <c r="D22" i="12"/>
  <c r="D23" i="12"/>
  <c r="D24" i="12"/>
  <c r="D25" i="12"/>
  <c r="D28" i="12"/>
  <c r="D29" i="12"/>
  <c r="D30" i="12"/>
  <c r="D31" i="12"/>
  <c r="D32" i="12"/>
  <c r="D33" i="12"/>
  <c r="D36" i="12"/>
  <c r="D37" i="12"/>
  <c r="B11" i="11"/>
  <c r="B19" i="11"/>
  <c r="B27" i="11"/>
  <c r="D4" i="11"/>
  <c r="D5" i="11"/>
  <c r="D6" i="11"/>
  <c r="D7" i="11"/>
  <c r="D12" i="11"/>
  <c r="D13" i="11"/>
  <c r="D14" i="11"/>
  <c r="D15" i="11"/>
  <c r="D16" i="11"/>
  <c r="D17" i="11"/>
  <c r="D19" i="11"/>
  <c r="D20" i="11"/>
  <c r="D21" i="11"/>
  <c r="D22" i="11"/>
  <c r="D23" i="11"/>
  <c r="D24" i="11"/>
  <c r="D25" i="11"/>
  <c r="D27" i="11"/>
  <c r="D28" i="11"/>
  <c r="D29" i="11"/>
  <c r="D30" i="11"/>
  <c r="D31" i="11"/>
  <c r="D32" i="11"/>
  <c r="D33" i="11"/>
  <c r="B11" i="10"/>
  <c r="B19" i="10"/>
  <c r="B27" i="10"/>
  <c r="B35" i="10"/>
  <c r="D7" i="10"/>
  <c r="D12" i="10"/>
  <c r="D13" i="10"/>
  <c r="D14" i="10"/>
  <c r="D15" i="10"/>
  <c r="D20" i="10"/>
  <c r="D21" i="10"/>
  <c r="D22" i="10"/>
  <c r="D23" i="10"/>
  <c r="D24" i="10"/>
  <c r="D25" i="10"/>
  <c r="D27" i="10"/>
  <c r="D28" i="10"/>
  <c r="D29" i="10"/>
  <c r="D30" i="10"/>
  <c r="D31" i="10"/>
  <c r="D32" i="10"/>
  <c r="D33" i="10"/>
  <c r="D35" i="10"/>
  <c r="D36" i="10"/>
  <c r="D37" i="10"/>
  <c r="D38" i="10"/>
  <c r="D39" i="10"/>
  <c r="D40" i="10"/>
  <c r="B11" i="9"/>
  <c r="B19" i="9"/>
  <c r="B27" i="9"/>
  <c r="D5" i="9"/>
  <c r="D6" i="9"/>
  <c r="D7" i="9"/>
  <c r="D12" i="9"/>
  <c r="D13" i="9"/>
  <c r="D14" i="9"/>
  <c r="D15" i="9"/>
  <c r="D16" i="9"/>
  <c r="D17" i="9"/>
  <c r="D19" i="9"/>
  <c r="D20" i="9"/>
  <c r="D21" i="9"/>
  <c r="D22" i="9"/>
  <c r="D23" i="9"/>
  <c r="D24" i="9"/>
  <c r="D25" i="9"/>
  <c r="D27" i="9"/>
  <c r="D28" i="9"/>
  <c r="D29" i="9"/>
  <c r="D30" i="9"/>
  <c r="D31" i="9"/>
  <c r="D32" i="9"/>
  <c r="D33" i="9"/>
  <c r="D3" i="10"/>
  <c r="D4" i="10"/>
  <c r="B11" i="8"/>
  <c r="B19" i="8"/>
  <c r="B27" i="8"/>
  <c r="D4" i="8"/>
  <c r="D5" i="8"/>
  <c r="D6" i="8"/>
  <c r="D7" i="8"/>
  <c r="D13" i="8"/>
  <c r="D14" i="8"/>
  <c r="D15" i="8"/>
  <c r="D20" i="8"/>
  <c r="D21" i="8"/>
  <c r="D22" i="8"/>
  <c r="D23" i="8"/>
  <c r="D24" i="8"/>
  <c r="D25" i="8"/>
  <c r="D27" i="8"/>
  <c r="D28" i="8"/>
  <c r="D29" i="8"/>
  <c r="D30" i="8"/>
  <c r="D31" i="8"/>
  <c r="D32" i="8"/>
  <c r="D33" i="8"/>
  <c r="B11" i="7"/>
  <c r="B19" i="7"/>
  <c r="B27" i="7"/>
  <c r="B35" i="7"/>
  <c r="D6" i="7"/>
  <c r="D7" i="7"/>
  <c r="D12" i="7"/>
  <c r="D13" i="7"/>
  <c r="D14" i="7"/>
  <c r="D15" i="7"/>
  <c r="D20" i="7"/>
  <c r="D21" i="7"/>
  <c r="D22" i="7"/>
  <c r="D23" i="7"/>
  <c r="B11" i="6"/>
  <c r="B19" i="6"/>
  <c r="B27" i="6"/>
  <c r="B11" i="5"/>
  <c r="B19" i="5"/>
  <c r="B27" i="5"/>
  <c r="B11" i="4"/>
  <c r="B19" i="4"/>
  <c r="B27" i="4"/>
  <c r="B35" i="4"/>
  <c r="B11" i="3"/>
  <c r="B19" i="3"/>
  <c r="B27" i="3"/>
  <c r="D4" i="3"/>
  <c r="D5" i="3"/>
  <c r="D6" i="3"/>
  <c r="D7" i="3"/>
  <c r="D8" i="3"/>
  <c r="D9" i="3"/>
  <c r="D11" i="3"/>
  <c r="D12" i="3"/>
  <c r="D13" i="3"/>
  <c r="D14" i="3"/>
  <c r="B11" i="2"/>
  <c r="B19" i="2"/>
  <c r="B27" i="2"/>
  <c r="D4" i="2"/>
  <c r="D5" i="2"/>
  <c r="D6" i="2"/>
  <c r="D7" i="2"/>
  <c r="D12" i="2"/>
  <c r="D13" i="2"/>
  <c r="D14" i="2"/>
  <c r="D15" i="2"/>
  <c r="D20" i="2"/>
  <c r="D21" i="2"/>
  <c r="D22" i="2"/>
  <c r="D23" i="2"/>
  <c r="D28" i="2"/>
  <c r="D29" i="2"/>
  <c r="D30" i="2"/>
  <c r="D31" i="2"/>
  <c r="B11" i="1"/>
  <c r="B19" i="1"/>
  <c r="B27" i="1"/>
  <c r="B35" i="1"/>
  <c r="D7" i="1"/>
  <c r="D12" i="1"/>
  <c r="D13" i="1"/>
  <c r="D14" i="1"/>
  <c r="D15" i="1"/>
  <c r="D28" i="1"/>
  <c r="D29" i="1"/>
  <c r="D30" i="1"/>
  <c r="D31" i="1"/>
  <c r="D32" i="1"/>
  <c r="D33" i="1"/>
  <c r="D36" i="1"/>
  <c r="D37" i="1"/>
  <c r="D38" i="1"/>
  <c r="D39" i="1"/>
  <c r="D8" i="4"/>
  <c r="D15" i="3"/>
  <c r="D16" i="3"/>
  <c r="D17" i="3"/>
  <c r="D19" i="3"/>
  <c r="D20" i="3"/>
  <c r="D21" i="3"/>
  <c r="D22" i="3"/>
  <c r="D23" i="3"/>
  <c r="D24" i="3"/>
  <c r="D25" i="3"/>
  <c r="D27" i="3"/>
  <c r="D28" i="3"/>
  <c r="D29" i="3"/>
  <c r="D30" i="3"/>
  <c r="D31" i="3"/>
  <c r="D32" i="3"/>
  <c r="D33" i="3"/>
  <c r="D3" i="4"/>
  <c r="D7" i="5"/>
  <c r="D12" i="5"/>
  <c r="D13" i="5"/>
  <c r="D14" i="5"/>
  <c r="D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tc={E6586D65-FB08-4242-BB27-BC5BA3CB9084}</author>
  </authors>
  <commentList>
    <comment ref="S37" authorId="0" shapeId="0" xr:uid="{E6586D65-FB08-4242-BB27-BC5BA3CB90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Remplacement des colonnes Adou + investigation relargage saumure
Raccordement extension boucle eco puis desinfection osmoseur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tc={2B0B205F-55A1-A14A-837F-EAE34AA0BE30}</author>
    <author>tc={90586288-BA42-4587-AC07-66D1FDCA01D1}</author>
    <author>tc={2EAF52E8-AD61-4E8F-B706-837728DBC7C1}</author>
    <author>tc={2BD7232E-C0CD-4D04-BAF2-494605A2E779}</author>
    <author>tc={0D029028-79F5-43D4-A29C-45775D4B6276}</author>
  </authors>
  <commentList>
    <comment ref="T11" authorId="0" shapeId="0" xr:uid="{2B0B205F-55A1-A14A-837F-EAE34AA0BE30}">
      <text>
        <t>[Threaded comment]
Your version of Excel allows you to read this threaded comment; however, any edits to it will get removed if the file is opened in a newer version of Excel. Learn more: https://go.microsoft.com/fwlink/?linkid=870924
Comment:
    Mise en service surpresseur mais mise en service TTE impossible car manque matériel bac 0,2 (clamps sites prélèvements et mano).</t>
      </text>
    </comment>
    <comment ref="R13" authorId="1" shapeId="0" xr:uid="{90586288-BA42-4587-AC07-66D1FDCA01D1}">
      <text>
        <t>[Threaded comment]
Your version of Excel allows you to read this threaded comment; however, any edits to it will get removed if the file is opened in a newer version of Excel. Learn more: https://go.microsoft.com/fwlink/?linkid=870924
Comment:
    10h A confirmer avec Anne.
16h30 TEAMS ENTRETIEN PE</t>
      </text>
    </comment>
    <comment ref="R19" authorId="2" shapeId="0" xr:uid="{2EAF52E8-AD61-4E8F-B706-837728DBC7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RECEPTION OSMOSEUR 18 MAI 13h30;
Demonter HERCOTHERME pour rentrer l'osmoseur;</t>
      </text>
    </comment>
    <comment ref="R20" authorId="3" shapeId="0" xr:uid="{2BD7232E-C0CD-4D04-BAF2-494605A2E779}">
      <text>
        <t>[Threaded comment]
Your version of Excel allows you to read this threaded comment; however, any edits to it will get removed if the file is opened in a newer version of Excel. Learn more: https://go.microsoft.com/fwlink/?linkid=870924
Comment:
    Mise en service Pretraitement + osmoseur.</t>
      </text>
    </comment>
    <comment ref="R21" authorId="4" shapeId="0" xr:uid="{0D029028-79F5-43D4-A29C-45775D4B6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VISITE devis tte Divion 9h30
+ Cambrai 11h 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6" authorId="0" shapeId="0" xr:uid="{3A0936D7-8A2D-4F13-A659-79B1CF92E779}">
      <text>
        <r>
          <rPr>
            <sz val="11"/>
            <color rgb="FF000000"/>
            <rFont val="Calibri"/>
            <scheme val="minor"/>
          </rPr>
          <t>Date du jour récupérable travaillé</t>
        </r>
      </text>
    </comment>
  </commentList>
</comments>
</file>

<file path=xl/sharedStrings.xml><?xml version="1.0" encoding="utf-8"?>
<sst xmlns="http://schemas.openxmlformats.org/spreadsheetml/2006/main" count="1935" uniqueCount="460">
  <si>
    <t xml:space="preserve"> </t>
  </si>
  <si>
    <t>Déc 25 / Jan 26</t>
  </si>
  <si>
    <t>BESOINS</t>
  </si>
  <si>
    <t>Livraison osmoseur</t>
  </si>
  <si>
    <t>Prélèvements</t>
  </si>
  <si>
    <t>Damien</t>
  </si>
  <si>
    <t>Cédric</t>
  </si>
  <si>
    <t>Axel</t>
  </si>
  <si>
    <t>Arnaud</t>
  </si>
  <si>
    <t>Thomas</t>
  </si>
  <si>
    <t>SAV</t>
  </si>
  <si>
    <t>Denis</t>
  </si>
  <si>
    <t>Stéphane</t>
  </si>
  <si>
    <t>William</t>
  </si>
  <si>
    <t>Lun</t>
  </si>
  <si>
    <t>Vacances
de Noël</t>
  </si>
  <si>
    <t>ALURAD BRIVE HDF</t>
  </si>
  <si>
    <t>CONGES</t>
  </si>
  <si>
    <t>ARRET</t>
  </si>
  <si>
    <t>Accueil HOH</t>
  </si>
  <si>
    <t>Entretien véhicule + Chateaudun AIRBP</t>
  </si>
  <si>
    <t>Mayotte</t>
  </si>
  <si>
    <t>Thierry</t>
  </si>
  <si>
    <t>Mar</t>
  </si>
  <si>
    <t>Alencon CH Mise en place GTC + formation technique</t>
  </si>
  <si>
    <t>Mer</t>
  </si>
  <si>
    <t>Chateaudun AIRBP InterventionnTTE</t>
  </si>
  <si>
    <t>Jeu</t>
  </si>
  <si>
    <t>Férié</t>
  </si>
  <si>
    <t>Ven</t>
  </si>
  <si>
    <t>RTT</t>
  </si>
  <si>
    <t>Administratif</t>
  </si>
  <si>
    <t>Sam</t>
  </si>
  <si>
    <t>Dim</t>
  </si>
  <si>
    <t>Janvier 2026</t>
  </si>
  <si>
    <t>ATIR CARPENTRAS
Visite de chantier</t>
  </si>
  <si>
    <t>Lisieux CH InterventionnTTE</t>
  </si>
  <si>
    <t>FELIX GUYON</t>
  </si>
  <si>
    <t>stéphane</t>
  </si>
  <si>
    <t>Alencon CH  formation Technique et Utilisateur</t>
  </si>
  <si>
    <t>Retour REUNION</t>
  </si>
  <si>
    <t>ALURAD BRIVE Com distance</t>
  </si>
  <si>
    <t>Herco</t>
  </si>
  <si>
    <t>Alencon CH  formation technique</t>
  </si>
  <si>
    <t>Matin administratif/A-M CH ROMANS</t>
  </si>
  <si>
    <t>CECON BAYONNE</t>
  </si>
  <si>
    <t>Télétravail</t>
  </si>
  <si>
    <t>Inventaire TTE</t>
  </si>
  <si>
    <t>ATIR CARPENTRAS</t>
  </si>
  <si>
    <t>Inventaire TTe Toulouse</t>
  </si>
  <si>
    <t>Réunion TTE 14h-15h30</t>
  </si>
  <si>
    <t>H2OPTIMIZER ATUPC?</t>
  </si>
  <si>
    <t>ALURAD LIMOGES ECO E2</t>
  </si>
  <si>
    <t>ALURAD Limoges                PHASE 2</t>
  </si>
  <si>
    <t>ATIR CARPENTRAS           ECO E2</t>
  </si>
  <si>
    <t>ALURAD BRIVE + LIMOGES HDF</t>
  </si>
  <si>
    <t>Genvilliers</t>
  </si>
  <si>
    <t>Monaco</t>
  </si>
  <si>
    <t>Générateur et connectic Soissons</t>
  </si>
  <si>
    <t xml:space="preserve"> CARPENTRAS (Mise sous argon + reception osmoseur)</t>
  </si>
  <si>
    <t>Laurent</t>
  </si>
  <si>
    <t>Aura pontoise / Pellport</t>
  </si>
  <si>
    <t>Angers DIAVERUM Intervention  TTE</t>
  </si>
  <si>
    <t>Deuil La Barre / Turin</t>
  </si>
  <si>
    <t>Angers ECHO Intervention TTE</t>
  </si>
  <si>
    <t>QI/QO St Palais</t>
  </si>
  <si>
    <t>ATIR CARPENTRAS
PV ECO/HOH</t>
  </si>
  <si>
    <t>Soissons CH</t>
  </si>
  <si>
    <t>CH VERDUN</t>
  </si>
  <si>
    <t>CH LA ROCHELLE</t>
  </si>
  <si>
    <t>Vannes CH Intervention TTE</t>
  </si>
  <si>
    <t>ARPDD Visite de site</t>
  </si>
  <si>
    <t>La roche sur yon CHD Révision annuelle</t>
  </si>
  <si>
    <t>ADA 17 DOLUS                              +  SAINT JEAN                          Phase 1                                  ECO E2</t>
  </si>
  <si>
    <t>ADA 17 DOLUS + ST JEAN</t>
  </si>
  <si>
    <t>ADA 17 DOLUS / ST JEAN</t>
  </si>
  <si>
    <t>ANIDER Cherbourg  Visite TTE 14H</t>
  </si>
  <si>
    <t>CH LA ROCHELLE recherche cause vidange cuve entrée eau</t>
  </si>
  <si>
    <t>Olivier</t>
  </si>
  <si>
    <t>ADA 17 ROCHEFORT</t>
  </si>
  <si>
    <t>ADA 17 DOLUS (MM)</t>
  </si>
  <si>
    <t>Alencon CH  formation technique + Mise en service définitive</t>
  </si>
  <si>
    <t>ADA 17 ROCHEFORT Phase 1                             ECO E2</t>
  </si>
  <si>
    <t>ADA17 ST Jean d'Angely</t>
  </si>
  <si>
    <t>DIVALTO 10h-12h</t>
  </si>
  <si>
    <t>Enfant malade</t>
  </si>
  <si>
    <t>ADH DIVION                      AFS</t>
  </si>
  <si>
    <t>ALURAD LIMOGES HDF</t>
  </si>
  <si>
    <t>La Rochelle CH Intervention TTE</t>
  </si>
  <si>
    <t>Clinique esperance Mise en service?</t>
  </si>
  <si>
    <t>ADH DIVION</t>
  </si>
  <si>
    <t>ADA17 DOLUS HD + SAINT JEAN HD (26/01)</t>
  </si>
  <si>
    <t>ADH DIVION / Beaurains / visite La Basse</t>
  </si>
  <si>
    <t>Formation IUT LORIENT- 16-18H</t>
  </si>
  <si>
    <t>H2OPTIMIZER ATUPC</t>
  </si>
  <si>
    <t>DOLUS suivi</t>
  </si>
  <si>
    <t>Alençon CH QI,QO et QC</t>
  </si>
  <si>
    <t>QI/QO ALURAD BRIVE</t>
  </si>
  <si>
    <t>Guinguamp et Saint Brieuc CH Visite TTE</t>
  </si>
  <si>
    <t>Moulins Presentation Gamme TTE</t>
  </si>
  <si>
    <t>Rdv AUDIKA</t>
  </si>
  <si>
    <t>La Roche sur Yon CH et La Baule ECHO Intervention TTE</t>
  </si>
  <si>
    <t xml:space="preserve">Formation </t>
  </si>
  <si>
    <t>Février 2026</t>
  </si>
  <si>
    <t>DIAVERUM TARASCON                    ECO E1</t>
  </si>
  <si>
    <t>DIAVERUM TARASCON</t>
  </si>
  <si>
    <t>Diaverum TARASCON</t>
  </si>
  <si>
    <t>Lorient AUB Intervention TTE</t>
  </si>
  <si>
    <t>AAIR CASTELNAU REMPLA DIATRON</t>
  </si>
  <si>
    <t xml:space="preserve">Formation ADA17 St Jean d’Angely </t>
  </si>
  <si>
    <t>DIAVERUM TARASCON - PV installateur</t>
  </si>
  <si>
    <t>QI/QO ALURAD LOMOGES</t>
  </si>
  <si>
    <t>Vacances
d'hiver
(Zone A)</t>
  </si>
  <si>
    <t>ADA 17 DOLUS/ST JEAN Phase 2                             ECO E2</t>
  </si>
  <si>
    <t>ADA 17 DOLUS</t>
  </si>
  <si>
    <t>ADA 17</t>
  </si>
  <si>
    <t>Alençon CH Intervention TTE</t>
  </si>
  <si>
    <t>TARASCON DIAVERUM</t>
  </si>
  <si>
    <t>AURA PARIS PLAISANCE Présentation Offre TTE</t>
  </si>
  <si>
    <t>ADA 17 ST JEAN</t>
  </si>
  <si>
    <t>Saint Paul STEER Intervention TTE</t>
  </si>
  <si>
    <t>H2OPTIMIZER ATUP VITROLLES</t>
  </si>
  <si>
    <t>ADA 17 DOLUS HD - SAINT JEAN HDF</t>
  </si>
  <si>
    <t>Alexis</t>
  </si>
  <si>
    <t>Vacances
d'hiver
(Zone A+B)</t>
  </si>
  <si>
    <t>ADA 17 ROCHEFORT Phase 2                             ECO E2</t>
  </si>
  <si>
    <t>Case Pilote et Hibiscus STEER Intervention TTE</t>
  </si>
  <si>
    <t>Stage PWG</t>
  </si>
  <si>
    <t>CH LA ROCHELLE mise en place bac0,2</t>
  </si>
  <si>
    <t>Gilles</t>
  </si>
  <si>
    <t>Stage PWG + CECON &amp; TTE Individuel</t>
  </si>
  <si>
    <t xml:space="preserve">CH St Palais CECON </t>
  </si>
  <si>
    <t>Voiture</t>
  </si>
  <si>
    <t>Présentation Montauban</t>
  </si>
  <si>
    <t>ECHO Trélaze Intervention TTE</t>
  </si>
  <si>
    <t xml:space="preserve">ADA17 Rochefort </t>
  </si>
  <si>
    <t>ADA 17 DOLUS HDF - SAINT JEAN HDF</t>
  </si>
  <si>
    <t>Apres midi RTT</t>
  </si>
  <si>
    <t>Vacances
d'hiver
(Zone B+C)</t>
  </si>
  <si>
    <t>AURA PARIS</t>
  </si>
  <si>
    <t>Congés</t>
  </si>
  <si>
    <t>Presentation offre Aural Lyon 13h</t>
  </si>
  <si>
    <t>AURA PC Pré-Médard</t>
  </si>
  <si>
    <t>Presentation offre vesoul 10h</t>
  </si>
  <si>
    <t>DOLUS mise au point PTT</t>
  </si>
  <si>
    <t>Presentation Gamme TTE Aurillac 11h</t>
  </si>
  <si>
    <t>ALURAD Brive GTC</t>
  </si>
  <si>
    <t>1/2 RTT MATIN             1/2 TELETRAVAIL A-M</t>
  </si>
  <si>
    <t>Revision TTE LA SEYNE SUR MER</t>
  </si>
  <si>
    <t xml:space="preserve">St palais </t>
  </si>
  <si>
    <t xml:space="preserve">Formation HYERE </t>
  </si>
  <si>
    <t>Mars 2026</t>
  </si>
  <si>
    <t>Vacances
d'hiver
(Zone C)</t>
  </si>
  <si>
    <t>ECHO LE MANS</t>
  </si>
  <si>
    <t>Restitution véhicule et récupération nouveau vehicule</t>
  </si>
  <si>
    <t xml:space="preserve">H2OPTIMIZER </t>
  </si>
  <si>
    <t>Jehamal</t>
  </si>
  <si>
    <t>Réunion SAV TOULOUSE + HERCO</t>
  </si>
  <si>
    <t>RECUPERATION</t>
  </si>
  <si>
    <t>HemoRO ONE Toulouse Aider ?</t>
  </si>
  <si>
    <t>La Rochelle</t>
  </si>
  <si>
    <t>Visite de site CH Bordeaux Pelegrin Vs ECHO Angers</t>
  </si>
  <si>
    <t xml:space="preserve">Medipole Cabestany </t>
  </si>
  <si>
    <t>CH La Rochelle</t>
  </si>
  <si>
    <t xml:space="preserve">ECHO LE MANS PSS </t>
  </si>
  <si>
    <t>Formation Dialyse /sarreguemines /Caroline</t>
  </si>
  <si>
    <t>17H DR BOUVET</t>
  </si>
  <si>
    <t xml:space="preserve">CH La Rochelle </t>
  </si>
  <si>
    <t>Compiègne Pauline</t>
  </si>
  <si>
    <t xml:space="preserve"> CH POITIERS Bilan annuel 14H</t>
  </si>
  <si>
    <t>QI QO ESPERANCE 14H ADH</t>
  </si>
  <si>
    <t>Presentation TTE pharmaciens ATIR 11H</t>
  </si>
  <si>
    <t xml:space="preserve">ALURAD BRIVE </t>
  </si>
  <si>
    <t xml:space="preserve">Revision Montelimar </t>
  </si>
  <si>
    <t>ADA 17 DOLUS HDF</t>
  </si>
  <si>
    <t xml:space="preserve">Formation geste et posture </t>
  </si>
  <si>
    <t xml:space="preserve">Formation geste et posture? </t>
  </si>
  <si>
    <t>AURA PC PRE-MEDARD</t>
  </si>
  <si>
    <t>QI, QO et QC CH Soissons</t>
  </si>
  <si>
    <t>CH EVREUX</t>
  </si>
  <si>
    <t xml:space="preserve">RTT   </t>
  </si>
  <si>
    <t>Réunion DWA</t>
  </si>
  <si>
    <t xml:space="preserve">ADIVA  visite TTE </t>
  </si>
  <si>
    <t>DWA</t>
  </si>
  <si>
    <t>Beauvais Pauline</t>
  </si>
  <si>
    <t>RTT MATIN</t>
  </si>
  <si>
    <t xml:space="preserve">Télétravail </t>
  </si>
  <si>
    <t>AURA Vichy + Chamalière</t>
  </si>
  <si>
    <t>Diverum Angers Intervention TTE</t>
  </si>
  <si>
    <t>AURA BICHAT</t>
  </si>
  <si>
    <t>arpdd 10h /Visite charleville meziere 13h30.</t>
  </si>
  <si>
    <t xml:space="preserve">St Palais </t>
  </si>
  <si>
    <t>Cabestany Intervention HEMORO ONE</t>
  </si>
  <si>
    <t xml:space="preserve">Indisponible </t>
  </si>
  <si>
    <t>Le Havre - Mardi 9h00
Clinique Yvetot à 15h00</t>
  </si>
  <si>
    <t xml:space="preserve">AURA PC PRE-MEDARD </t>
  </si>
  <si>
    <t xml:space="preserve">HABILITATION ELECTRIQUE VILLEPINTE </t>
  </si>
  <si>
    <t>AGDUC 14H30</t>
  </si>
  <si>
    <t>ALURAD USSEL</t>
  </si>
  <si>
    <t>H2OPTIMIZER  BRIOUDE</t>
  </si>
  <si>
    <t>ECHO LE MANS PSS et Diavverum ANgers le soir pour remplacer le filtre 0.2</t>
  </si>
  <si>
    <t>Clinique de l'esperance</t>
  </si>
  <si>
    <t>DOLUS Rempla disjoncteurs</t>
  </si>
  <si>
    <t>ADA17 DOLUS / ST-JEAN HDF</t>
  </si>
  <si>
    <t>Mathilde Presentation MGEN 16H</t>
  </si>
  <si>
    <t>Avril 2026</t>
  </si>
  <si>
    <t>RECOM</t>
  </si>
  <si>
    <t>12H30 LANCON</t>
  </si>
  <si>
    <t>ALURAD Ussel connexion</t>
  </si>
  <si>
    <t>Saint Benoit AURA PC Intervention TTE</t>
  </si>
  <si>
    <t>TARASCON Formation technicien 18H SANCHEZ</t>
  </si>
  <si>
    <t>Jamel</t>
  </si>
  <si>
    <t>Niort CH Intervention TTE</t>
  </si>
  <si>
    <t xml:space="preserve"> RTT</t>
  </si>
  <si>
    <t>Tournan en brie 13 H  CECON</t>
  </si>
  <si>
    <t>REUNIONS TEAMS</t>
  </si>
  <si>
    <t xml:space="preserve">Reunion SOIREE MGEN 19 H </t>
  </si>
  <si>
    <r>
      <rPr>
        <b/>
        <sz val="11"/>
        <color rgb="FFFF0000"/>
        <rFont val="Calibri"/>
      </rPr>
      <t>|</t>
    </r>
    <r>
      <rPr>
        <sz val="8"/>
        <color rgb="FF000000"/>
        <rFont val="Calibri"/>
      </rPr>
      <t xml:space="preserve">Tournan-en-Brie13h3
</t>
    </r>
    <r>
      <rPr>
        <b/>
        <sz val="11"/>
        <color rgb="FFFF0000"/>
        <rFont val="Calibri"/>
      </rPr>
      <t>|</t>
    </r>
    <r>
      <rPr>
        <b/>
        <sz val="11"/>
        <color rgb="FF000000"/>
        <rFont val="Calibri"/>
      </rPr>
      <t xml:space="preserve"> </t>
    </r>
    <r>
      <rPr>
        <sz val="8"/>
        <color rgb="FF000000"/>
        <rFont val="Calibri"/>
      </rPr>
      <t>MGEN 19h</t>
    </r>
  </si>
  <si>
    <t>ATIR AVIGNON ISLES SUR SORGUES APT</t>
  </si>
  <si>
    <t>Reunion Matthieu S. Organisation TTE</t>
  </si>
  <si>
    <t>YVETOT OBA</t>
  </si>
  <si>
    <t>Installation Remote CHU NICE</t>
  </si>
  <si>
    <t>ATUPC Surpresseur</t>
  </si>
  <si>
    <t>NCHPG - MONACO</t>
  </si>
  <si>
    <t>MONACO</t>
  </si>
  <si>
    <t>ADA 17 Rochefort</t>
  </si>
  <si>
    <t>Entretien Annuel</t>
  </si>
  <si>
    <t>ADA17 ROCHEFORT / DOLUS / ST-JEAN HDF</t>
  </si>
  <si>
    <t>Cannes</t>
  </si>
  <si>
    <t>CH Pontivy visite et Présantation TTE</t>
  </si>
  <si>
    <r>
      <rPr>
        <b/>
        <sz val="11"/>
        <color rgb="FF000000"/>
        <rFont val="Calibri"/>
      </rPr>
      <t>|</t>
    </r>
    <r>
      <rPr>
        <sz val="8"/>
        <color rgb="FF000000"/>
        <rFont val="Calibri"/>
      </rPr>
      <t>PWG</t>
    </r>
    <r>
      <rPr>
        <b/>
        <sz val="11"/>
        <color rgb="FF000000"/>
        <rFont val="Calibri"/>
      </rPr>
      <t>|</t>
    </r>
    <r>
      <rPr>
        <sz val="8"/>
        <color rgb="FF000000"/>
        <rFont val="Calibri"/>
      </rPr>
      <t xml:space="preserve"> </t>
    </r>
    <r>
      <rPr>
        <sz val="8"/>
        <color rgb="FF70AD47"/>
        <rFont val="Calibri"/>
      </rPr>
      <t xml:space="preserve">mp. MGNE </t>
    </r>
  </si>
  <si>
    <t xml:space="preserve">Révision véhicule + fiche projets </t>
  </si>
  <si>
    <t>Rhone DURANCE + Baigne Pieds</t>
  </si>
  <si>
    <t>PWG Vs AURA SANTE visite TTE</t>
  </si>
  <si>
    <t xml:space="preserve">Drancy </t>
  </si>
  <si>
    <t>Administratif TTE</t>
  </si>
  <si>
    <t>Rdv AURAD Aquitaine</t>
  </si>
  <si>
    <t>CH CANNES EXTENSION ECO E1</t>
  </si>
  <si>
    <t xml:space="preserve">etalonnage cond.metre </t>
  </si>
  <si>
    <t xml:space="preserve">Préparation présentation </t>
  </si>
  <si>
    <t>trajet Metz visite de site</t>
  </si>
  <si>
    <t xml:space="preserve">CH MONT DE MARSAN Présentation offre </t>
  </si>
  <si>
    <t>ADA17 ROCHEFORT HDF</t>
  </si>
  <si>
    <t>Metz visite de site 10h</t>
  </si>
  <si>
    <t>CANNES MODIF TTE</t>
  </si>
  <si>
    <t xml:space="preserve">Projet CECON ALURAD BRIVE </t>
  </si>
  <si>
    <t>LA SEYNE SUR MER APM- MONTELIMAR HEMORO ONE</t>
  </si>
  <si>
    <t>St Palais test CECON</t>
  </si>
  <si>
    <t>ECHO le Mans</t>
  </si>
  <si>
    <t>Récupération</t>
  </si>
  <si>
    <r>
      <rPr>
        <b/>
        <sz val="11"/>
        <color rgb="FF000000"/>
        <rFont val="Calibri"/>
      </rPr>
      <t>|</t>
    </r>
    <r>
      <rPr>
        <sz val="8"/>
        <color rgb="FF000000"/>
        <rFont val="Calibri"/>
      </rPr>
      <t xml:space="preserve">ARPDD TEAMs?
</t>
    </r>
    <r>
      <rPr>
        <b/>
        <sz val="11"/>
        <color rgb="FF000000"/>
        <rFont val="Calibri"/>
      </rPr>
      <t>|</t>
    </r>
    <r>
      <rPr>
        <b/>
        <sz val="8"/>
        <color rgb="FF000000"/>
        <rFont val="Calibri"/>
      </rPr>
      <t>Echo Le Mans13H30</t>
    </r>
  </si>
  <si>
    <t xml:space="preserve"> ARPDD 10H (teams) ARTIC 42 TEAMS 14H </t>
  </si>
  <si>
    <t>AURA PC Pré Médard</t>
  </si>
  <si>
    <t>ECHO LE MANS ???</t>
  </si>
  <si>
    <t>Avril/Mai 2026</t>
  </si>
  <si>
    <t>CLINIQUE YVETOT</t>
  </si>
  <si>
    <t>CH Vierzon Visite Sterilisation</t>
  </si>
  <si>
    <t>Entretien individuel Ramonville</t>
  </si>
  <si>
    <t>Laurent L.</t>
  </si>
  <si>
    <t>AUB Brest l'Hermitage Formation technique</t>
  </si>
  <si>
    <t xml:space="preserve">CABESTANY </t>
  </si>
  <si>
    <t xml:space="preserve">QI/QO St Jean d’Angely </t>
  </si>
  <si>
    <t>YVETOT (Olivier)</t>
  </si>
  <si>
    <t>YVETOT</t>
  </si>
  <si>
    <t>Moulins Apres Midi Presentation offres</t>
  </si>
  <si>
    <t>ADA17 La Rochelle signatures Réception</t>
  </si>
  <si>
    <t>Manuel technique installation H2OPTIMIZER /</t>
  </si>
  <si>
    <t xml:space="preserve">Chantier Réa La Rochelle </t>
  </si>
  <si>
    <t>Mai 2026</t>
  </si>
  <si>
    <t>SANTELYS CAUDRY</t>
  </si>
  <si>
    <t>AURA PC PRE-MEDARD HERCO 2 ???</t>
  </si>
  <si>
    <t>SANTELYS CAUDRY / ADH BEAURAINS</t>
  </si>
  <si>
    <t>SOIR CAUDRY</t>
  </si>
  <si>
    <t>14H AIDER Presentation Offres</t>
  </si>
  <si>
    <t>Entretien annuel</t>
  </si>
  <si>
    <t xml:space="preserve">Visite Pre-chantier SANTELYS CAUDRY </t>
  </si>
  <si>
    <t>MONTLUCON 11H</t>
  </si>
  <si>
    <t>Lorient CH Visite TTE</t>
  </si>
  <si>
    <t>Revision AGDE TTE</t>
  </si>
  <si>
    <t>Visite site Purpan</t>
  </si>
  <si>
    <t>CH MARTIGUES 11H-H2OPTIMIZER VITROLLES 14H</t>
  </si>
  <si>
    <t>AURA PC PREMEDAR HERCO 2 ???</t>
  </si>
  <si>
    <t xml:space="preserve">chateaudun </t>
  </si>
  <si>
    <t>Vesoul 14H</t>
  </si>
  <si>
    <t>La Rochelle Réa</t>
  </si>
  <si>
    <t>PWG</t>
  </si>
  <si>
    <t>Visite site de troyes 10H</t>
  </si>
  <si>
    <t>CH ST PALAIS</t>
  </si>
  <si>
    <t>Polyclinique Sainte come visio 11H</t>
  </si>
  <si>
    <t>CH 4 villes Saint Cloud Visite site 10h ;
ENTRETIEN TEAMS MPO</t>
  </si>
  <si>
    <t>Congé payé</t>
  </si>
  <si>
    <t xml:space="preserve">RTT </t>
  </si>
  <si>
    <t>indisponible</t>
  </si>
  <si>
    <t>Le HAVRE</t>
  </si>
  <si>
    <t>CAUDRY</t>
  </si>
  <si>
    <t>CH LE HAVRE /                                                                SANTELYS CAUDRY</t>
  </si>
  <si>
    <t>LE HAVRE (Osmoseur)</t>
  </si>
  <si>
    <t xml:space="preserve">CAUDRY(Osmoseur) </t>
  </si>
  <si>
    <t>Presentation GREEN 10H12H</t>
  </si>
  <si>
    <t>Ch La Rochelle Réa</t>
  </si>
  <si>
    <t>LA ROCHELLE ??</t>
  </si>
  <si>
    <t>CHD La Roche sur Yon Presentation Offre  Réa</t>
  </si>
  <si>
    <t>CAUDRY MES</t>
  </si>
  <si>
    <t>Formation nice Remote</t>
  </si>
  <si>
    <t>Formation IDE ADA17 Breuil Magné</t>
  </si>
  <si>
    <t>Télétravail ???</t>
  </si>
  <si>
    <t>ADH 9h30 DIVION / 11H00 CAMBRAI</t>
  </si>
  <si>
    <t>ADH Pauline</t>
  </si>
  <si>
    <t xml:space="preserve">USSEL formation </t>
  </si>
  <si>
    <t>C.H. Le Havre</t>
  </si>
  <si>
    <t>Visite étude projet nanterre /ACA pm 14H</t>
  </si>
  <si>
    <t>Presentation Offre  AURILLAC</t>
  </si>
  <si>
    <t>Point procédures et Qi/Qo ADA17</t>
  </si>
  <si>
    <t>Cabestany</t>
  </si>
  <si>
    <t>Visite AURAD Gradignan pour CH M2M?</t>
  </si>
  <si>
    <t>Presentation offre  CH Lorient</t>
  </si>
  <si>
    <t>Presentation Offre CECON  TOURNAN /ACA</t>
  </si>
  <si>
    <t>Presentation TTE CH Evreux</t>
  </si>
  <si>
    <t>Brioude H2OPTIMIZER</t>
  </si>
  <si>
    <t>AURA PC Pré médard</t>
  </si>
  <si>
    <t>AURA PRE MEDARD
Jehamal</t>
  </si>
  <si>
    <t>Juin 2026</t>
  </si>
  <si>
    <t xml:space="preserve">AFS                                                                          ADH BEAURAINS </t>
  </si>
  <si>
    <t>ADH Beaurains</t>
  </si>
  <si>
    <t>Ch Cahors</t>
  </si>
  <si>
    <t>ADH BEAURAINS</t>
  </si>
  <si>
    <t>Présentation technique (et) visite du site / étude projet 2027.   Mulhouse / VRE</t>
  </si>
  <si>
    <t>ADA17 St Jean d'Angely test groupe</t>
  </si>
  <si>
    <t>ECO Le Havre</t>
  </si>
  <si>
    <t>indispo</t>
  </si>
  <si>
    <t>ECO                               SANTELYS LA LOUVIERE</t>
  </si>
  <si>
    <t>SANTELYS LA LOUVIERE</t>
  </si>
  <si>
    <t>CONGES BMW 16H</t>
  </si>
  <si>
    <t>ALBI</t>
  </si>
  <si>
    <t xml:space="preserve">bilan annuel CH POITIERS ?? </t>
  </si>
  <si>
    <t xml:space="preserve">CONGES     </t>
  </si>
  <si>
    <t>AFS                                      AURA SANTE CHAMALIERE PHASE 1</t>
  </si>
  <si>
    <t>AURA SANTE CHAMALIERE</t>
  </si>
  <si>
    <t>RTT?</t>
  </si>
  <si>
    <t>AURA Santé Chamaliéres (Gilles)</t>
  </si>
  <si>
    <t>AIRBP Formation IDE 15H</t>
  </si>
  <si>
    <t>AURA Santé Chamaliéres</t>
  </si>
  <si>
    <t>ADH BEAURAINS ???</t>
  </si>
  <si>
    <t>bilan annuel CH POITIERS ??</t>
  </si>
  <si>
    <t>La Louviere ???</t>
  </si>
  <si>
    <t>AURA SANTE CHAMALIERE ???</t>
  </si>
  <si>
    <t xml:space="preserve">Juin 2026		</t>
  </si>
  <si>
    <t>SANTELYS GRAVELINE</t>
  </si>
  <si>
    <t>MAYOTTE MRADOUDOU</t>
  </si>
  <si>
    <t>ECHO Le Mans( Débranchement Producteur)</t>
  </si>
  <si>
    <t>Mayotte???</t>
  </si>
  <si>
    <t>SANTELYS GRAVELINES ?</t>
  </si>
  <si>
    <t>ADH LA LOUVIERE ???</t>
  </si>
  <si>
    <t>Inventaire Toulouse</t>
  </si>
  <si>
    <t>Juillet 2026</t>
  </si>
  <si>
    <t>Vacances
d'été</t>
  </si>
  <si>
    <t xml:space="preserve">AURA VICHY PHASE 1 </t>
  </si>
  <si>
    <t>Extension la ROCHELLE</t>
  </si>
  <si>
    <t>Santelys GRAVELINES</t>
  </si>
  <si>
    <t>VICHY PROVISOIRE DU MANS</t>
  </si>
  <si>
    <t xml:space="preserve">CP ? </t>
  </si>
  <si>
    <t>CH LA ROCHELLE (RACCORDEMENT EXTENSION )</t>
  </si>
  <si>
    <t>Indispo</t>
  </si>
  <si>
    <t>VICHY</t>
  </si>
  <si>
    <t>ALMAVIVA Saint Maximin???</t>
  </si>
  <si>
    <t>AURA SANTE CHAMALIERE PHASE 1</t>
  </si>
  <si>
    <t>Juillet/Août 2026</t>
  </si>
  <si>
    <t>Août 2026</t>
  </si>
  <si>
    <t xml:space="preserve">Congés </t>
  </si>
  <si>
    <t>Conges</t>
  </si>
  <si>
    <t>Mise en service Monaco</t>
  </si>
  <si>
    <t>Septembre 2026</t>
  </si>
  <si>
    <t>STEER HIBISCUS ???</t>
  </si>
  <si>
    <t>ADH LOISONS SOUS LENS</t>
  </si>
  <si>
    <t>Sept/Oct 2026</t>
  </si>
  <si>
    <t>Octobre 2026</t>
  </si>
  <si>
    <t>8H SANCHEZ</t>
  </si>
  <si>
    <t>Vacances
de la
Toussaint</t>
  </si>
  <si>
    <t>Novembre 2026</t>
  </si>
  <si>
    <t>CONGRES ATD /MSK</t>
  </si>
  <si>
    <t>Décembre 2026</t>
  </si>
  <si>
    <t>Déc 26 / Jan 27</t>
  </si>
  <si>
    <t>Chantier TTE</t>
  </si>
  <si>
    <t>Mises en 
service</t>
  </si>
  <si>
    <t>Révisions</t>
  </si>
  <si>
    <t>Stages techniques
et réunions</t>
  </si>
  <si>
    <t>Formations
sur site</t>
  </si>
  <si>
    <t>Mises à jour</t>
  </si>
  <si>
    <t>Visites client</t>
  </si>
  <si>
    <t>Dépannages</t>
  </si>
  <si>
    <t>Absences</t>
  </si>
  <si>
    <t>Ville 
Nom du client
Visite chantier</t>
  </si>
  <si>
    <t>Ville
Nom du client
Mise en service</t>
  </si>
  <si>
    <t>Ville
Nom du client
Révision semestrielle
(sous garantie)</t>
  </si>
  <si>
    <t>Croissy
Beaubourg
PWG France
Stage technique</t>
  </si>
  <si>
    <t>Ville
Nom du client
Formation
utilisateurs</t>
  </si>
  <si>
    <t>Ville
Nom du client
MàJ v 3.24</t>
  </si>
  <si>
    <t>Ville
Nom du client
Présentation
commerciale</t>
  </si>
  <si>
    <t>Ville
Nom du client</t>
  </si>
  <si>
    <t>Ville 
Nom du client
Installateur</t>
  </si>
  <si>
    <t>Ville
Nom du client
Prélèvements</t>
  </si>
  <si>
    <t>Ville
Nom du client
Révision annuelle
(sous garantie)</t>
  </si>
  <si>
    <t>Stuttgart
HERCO
Formation technique</t>
  </si>
  <si>
    <t>Ville
Nom du client
Formation
technique</t>
  </si>
  <si>
    <t>Ville Nom du client Visite technique</t>
  </si>
  <si>
    <t>Ville
Nom du client 
Livraison osmoseur</t>
  </si>
  <si>
    <t>Ville
Nom du client
QI + QO</t>
  </si>
  <si>
    <t>Ville
Nom du client
Révision semestrielle
(sous contrat)</t>
  </si>
  <si>
    <t>Ramonville
Réunion TTE</t>
  </si>
  <si>
    <t>Ville
Nom du client
Suivi chantier</t>
  </si>
  <si>
    <t>Ville
Nom du client
Révision annuelle
(sous contrat)</t>
  </si>
  <si>
    <t>Teams
Réunion HERCO</t>
  </si>
  <si>
    <t>Arrêt maladie</t>
  </si>
  <si>
    <t>Stuttgart
HERCO
Réunion TTE</t>
  </si>
  <si>
    <t>Vacances
scolaires</t>
  </si>
  <si>
    <t>jour de l'AN</t>
  </si>
  <si>
    <t>Pâques</t>
  </si>
  <si>
    <t>1er mai</t>
  </si>
  <si>
    <t>Pentecôte</t>
  </si>
  <si>
    <t>Toussaint</t>
  </si>
  <si>
    <t>Noel</t>
  </si>
  <si>
    <t>SAMEDI</t>
  </si>
  <si>
    <t>DIMANCHE</t>
  </si>
  <si>
    <t xml:space="preserve">Thierry </t>
  </si>
  <si>
    <t>Stephane</t>
  </si>
  <si>
    <t>Pâques 21/04</t>
  </si>
  <si>
    <t>2021 à 2023</t>
  </si>
  <si>
    <t>TOTAL Cumulé ASTREINTES 
Jours fériés</t>
  </si>
  <si>
    <t>Total Cumulé ASTREINTES Jours Fériés</t>
  </si>
  <si>
    <t>TOTAL ASTREINTES ANNUEL</t>
  </si>
  <si>
    <t>Total Cumulé ASTREINTES Jours fériés</t>
  </si>
  <si>
    <t>TOTAL ASTREINTES CUMULE</t>
  </si>
  <si>
    <t xml:space="preserve">TOTAL ASTREINTES ANNUEL </t>
  </si>
  <si>
    <t>Fin astreinte janv 2026</t>
  </si>
  <si>
    <t>arrêté à fin avril</t>
  </si>
  <si>
    <t>Recup</t>
  </si>
  <si>
    <t xml:space="preserve">Formation St Palais </t>
  </si>
  <si>
    <t xml:space="preserve">ADA17 St Jean d'Angely </t>
  </si>
  <si>
    <t>Revision TTE ALERIA</t>
  </si>
  <si>
    <t>MAYOTTES</t>
  </si>
  <si>
    <t>REUNION</t>
  </si>
  <si>
    <t>Présentation OFFRE CECON ATUP</t>
  </si>
  <si>
    <t>Reunion</t>
  </si>
  <si>
    <t xml:space="preserve">Almaviva Saint Maximin </t>
  </si>
  <si>
    <t>Le Havre ECO / CAUDRY</t>
  </si>
  <si>
    <t>1/2 TELETRAVAIL MATIN</t>
  </si>
  <si>
    <t>La roche sur yon CH Intervention TTE</t>
  </si>
  <si>
    <t>Saint benoit AURA PC Intervention TTE</t>
  </si>
  <si>
    <t>CH LIMOGES</t>
  </si>
  <si>
    <t xml:space="preserve">Formation IDE + finalisation USSEL </t>
  </si>
  <si>
    <t xml:space="preserve">AURAD LA TESTE </t>
  </si>
  <si>
    <t>TEAMS ARTIC 42 9H-AURA SANTE 11H</t>
  </si>
  <si>
    <t xml:space="preserve">CONGES?     </t>
  </si>
  <si>
    <t>Almaviva Saint Maximin - matin</t>
  </si>
  <si>
    <t>RTT Remplacement pneus 8H30 14H DR PELISSANNE</t>
  </si>
  <si>
    <t>SANTELYS GRAVELINES</t>
  </si>
  <si>
    <t>SAINT CLOUD /ACA 14h ?</t>
  </si>
  <si>
    <t>Présentation CECON LA ROCHE SUR YON</t>
  </si>
  <si>
    <t>AUB Douarnenez Visite TTE 15H</t>
  </si>
  <si>
    <t xml:space="preserve">Le Mans pss qualif osmoseur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</si>
</sst>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\,\ mmmm\ d\,\ yy"/>
    <numFmt numFmtId="165" formatCode="d\ mmm"/>
    <numFmt numFmtId="166" formatCode="d\ mmmm"/>
  </numFmts>
  <fonts count="36" x14ac:knownFonts="1">
    <font>
      <sz val="11"/>
      <color rgb="FF000000"/>
      <name val="Calibri"/>
      <scheme val="minor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b/>
      <sz val="8"/>
      <color rgb="FF000000"/>
      <name val="Calibri"/>
      <family val="2"/>
    </font>
    <font>
      <sz val="11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rgb="FFFFFFFF"/>
      <name val="Calibri"/>
    </font>
    <font>
      <sz val="11"/>
      <name val="Calibri"/>
    </font>
    <font>
      <b/>
      <sz val="9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rgb="FFFFFFFF"/>
      <name val="Calibri"/>
    </font>
    <font>
      <sz val="11"/>
      <color theme="1"/>
      <name val="Calibri"/>
    </font>
    <font>
      <sz val="8"/>
      <color rgb="FF000000"/>
      <name val="Calibri"/>
    </font>
    <font>
      <b/>
      <sz val="8"/>
      <color rgb="FF000000"/>
      <name val="Calibri"/>
    </font>
    <font>
      <sz val="11"/>
      <color rgb="FF000000"/>
      <name val="Calibri"/>
    </font>
    <font>
      <sz val="8"/>
      <color rgb="FFFFFFFF"/>
      <name val="Calibri"/>
    </font>
    <font>
      <sz val="12"/>
      <color rgb="FF000000"/>
      <name val="Calibri"/>
    </font>
    <font>
      <b/>
      <sz val="9"/>
      <color rgb="FF000000"/>
      <name val="Calibri"/>
    </font>
    <font>
      <b/>
      <sz val="11"/>
      <color rgb="FFFF0000"/>
      <name val="Calibri"/>
    </font>
    <font>
      <b/>
      <sz val="9"/>
      <color theme="0" tint="-4.9989318521683403E-2"/>
      <name val="Calibri"/>
      <family val="2"/>
    </font>
    <font>
      <sz val="8"/>
      <color theme="0"/>
      <name val="Calibri"/>
      <family val="2"/>
    </font>
    <font>
      <sz val="8"/>
      <color theme="1"/>
      <name val="Calibri"/>
    </font>
    <font>
      <b/>
      <sz val="9"/>
      <color rgb="FFFF0000"/>
      <name val="Calibri"/>
    </font>
    <font>
      <b/>
      <sz val="8"/>
      <color theme="0"/>
      <name val="Calibri"/>
      <family val="2"/>
    </font>
    <font>
      <sz val="8"/>
      <color rgb="FFFFFFFF"/>
      <name val="Calibri"/>
      <family val="2"/>
      <scheme val="minor"/>
    </font>
    <font>
      <b/>
      <sz val="11"/>
      <color rgb="FF000000"/>
      <name val="Calibri"/>
    </font>
    <font>
      <sz val="8"/>
      <color rgb="FF70AD47"/>
      <name val="Calibri"/>
    </font>
    <font>
      <b/>
      <sz val="8"/>
      <color theme="0"/>
      <name val="Calibri"/>
    </font>
    <font>
      <sz val="11"/>
      <color rgb="FF242424"/>
      <name val="Aptos Narrow"/>
      <charset val="1"/>
    </font>
    <font>
      <sz val="8"/>
      <color rgb="FF242424"/>
      <name val="Calibri"/>
      <scheme val="major"/>
    </font>
  </fonts>
  <fills count="4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8F8F8"/>
        <bgColor rgb="FFF8F8F8"/>
      </patternFill>
    </fill>
    <fill>
      <patternFill patternType="solid">
        <fgColor rgb="FFEA9999"/>
        <bgColor rgb="FFEA9999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CFE2F3"/>
        <bgColor rgb="FFCFE2F3"/>
      </patternFill>
    </fill>
    <fill>
      <patternFill patternType="solid">
        <fgColor rgb="FFFFC000"/>
        <bgColor rgb="FFFFC000"/>
      </patternFill>
    </fill>
    <fill>
      <patternFill patternType="solid">
        <fgColor rgb="FFB6D7A8"/>
        <bgColor rgb="FFB6D7A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9933"/>
        <bgColor rgb="FFFF9933"/>
      </patternFill>
    </fill>
    <fill>
      <patternFill patternType="solid">
        <fgColor theme="0"/>
        <bgColor indexed="64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theme="7"/>
        <bgColor theme="7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D6A7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4B2D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E91A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6F6FA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C0C0C0"/>
      </top>
      <bottom style="thin">
        <color rgb="FF000000"/>
      </bottom>
      <diagonal/>
    </border>
    <border>
      <left/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D8D8D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indexed="64"/>
      </right>
      <top style="thin">
        <color rgb="FFD8D8D8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/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505050"/>
      </bottom>
      <diagonal/>
    </border>
    <border>
      <left/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 style="thin">
        <color rgb="FFD8D8D8"/>
      </bottom>
      <diagonal/>
    </border>
    <border>
      <left/>
      <right style="thin">
        <color rgb="FF000000"/>
      </right>
      <top style="thin">
        <color rgb="FFD8D8D8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4" fontId="1" fillId="6" borderId="9" xfId="0" applyNumberFormat="1" applyFont="1" applyFill="1" applyBorder="1" applyAlignment="1">
      <alignment horizontal="center" vertical="center" wrapText="1"/>
    </xf>
    <xf numFmtId="1" fontId="1" fillId="6" borderId="10" xfId="0" applyNumberFormat="1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164" fontId="1" fillId="6" borderId="12" xfId="0" applyNumberFormat="1" applyFont="1" applyFill="1" applyBorder="1" applyAlignment="1">
      <alignment horizontal="center" vertical="center" wrapText="1"/>
    </xf>
    <xf numFmtId="1" fontId="1" fillId="6" borderId="13" xfId="0" applyNumberFormat="1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164" fontId="1" fillId="6" borderId="15" xfId="0" applyNumberFormat="1" applyFont="1" applyFill="1" applyBorder="1" applyAlignment="1">
      <alignment horizontal="center" vertical="center" wrapText="1"/>
    </xf>
    <xf numFmtId="1" fontId="1" fillId="6" borderId="16" xfId="0" applyNumberFormat="1" applyFont="1" applyFill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164" fontId="1" fillId="9" borderId="18" xfId="0" applyNumberFormat="1" applyFont="1" applyFill="1" applyBorder="1" applyAlignment="1">
      <alignment horizontal="center" vertical="center" wrapText="1"/>
    </xf>
    <xf numFmtId="1" fontId="1" fillId="6" borderId="19" xfId="0" applyNumberFormat="1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left" vertical="center" wrapText="1"/>
    </xf>
    <xf numFmtId="1" fontId="1" fillId="9" borderId="19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1" xfId="0" applyFont="1" applyBorder="1"/>
    <xf numFmtId="0" fontId="10" fillId="0" borderId="0" xfId="0" applyFont="1"/>
    <xf numFmtId="0" fontId="8" fillId="8" borderId="4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6" xfId="0" applyFont="1" applyBorder="1"/>
    <xf numFmtId="0" fontId="3" fillId="3" borderId="7" xfId="0" applyFont="1" applyFill="1" applyBorder="1" applyAlignment="1">
      <alignment horizontal="center" vertical="center" wrapText="1"/>
    </xf>
    <xf numFmtId="0" fontId="17" fillId="0" borderId="0" xfId="0" applyFont="1"/>
    <xf numFmtId="0" fontId="18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" fontId="18" fillId="9" borderId="0" xfId="0" applyNumberFormat="1" applyFont="1" applyFill="1" applyAlignment="1">
      <alignment horizontal="left" vertical="center" wrapText="1"/>
    </xf>
    <xf numFmtId="0" fontId="13" fillId="9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20" fillId="20" borderId="4" xfId="0" applyFont="1" applyFill="1" applyBorder="1" applyAlignment="1">
      <alignment horizontal="center" vertical="center" wrapText="1"/>
    </xf>
    <xf numFmtId="0" fontId="18" fillId="15" borderId="18" xfId="0" applyFont="1" applyFill="1" applyBorder="1" applyAlignment="1">
      <alignment horizontal="center" vertical="center" wrapText="1"/>
    </xf>
    <xf numFmtId="0" fontId="18" fillId="21" borderId="18" xfId="0" applyFont="1" applyFill="1" applyBorder="1" applyAlignment="1">
      <alignment horizontal="center" vertical="center" wrapText="1"/>
    </xf>
    <xf numFmtId="0" fontId="18" fillId="22" borderId="18" xfId="0" applyFont="1" applyFill="1" applyBorder="1" applyAlignment="1">
      <alignment horizontal="center" vertical="center" wrapText="1"/>
    </xf>
    <xf numFmtId="0" fontId="21" fillId="24" borderId="18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0" fillId="25" borderId="4" xfId="0" applyFont="1" applyFill="1" applyBorder="1" applyAlignment="1">
      <alignment horizontal="center" vertical="center" wrapText="1"/>
    </xf>
    <xf numFmtId="0" fontId="22" fillId="26" borderId="4" xfId="0" applyFont="1" applyFill="1" applyBorder="1" applyAlignment="1">
      <alignment horizontal="center" vertical="center" wrapText="1"/>
    </xf>
    <xf numFmtId="165" fontId="22" fillId="26" borderId="4" xfId="0" applyNumberFormat="1" applyFont="1" applyFill="1" applyBorder="1" applyAlignment="1">
      <alignment horizontal="center" vertical="center" wrapText="1"/>
    </xf>
    <xf numFmtId="166" fontId="22" fillId="26" borderId="4" xfId="0" applyNumberFormat="1" applyFont="1" applyFill="1" applyBorder="1" applyAlignment="1">
      <alignment horizontal="center" vertical="center" wrapText="1"/>
    </xf>
    <xf numFmtId="0" fontId="18" fillId="26" borderId="4" xfId="0" applyFont="1" applyFill="1" applyBorder="1" applyAlignment="1">
      <alignment horizontal="center" vertical="center" wrapText="1"/>
    </xf>
    <xf numFmtId="0" fontId="20" fillId="27" borderId="4" xfId="0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 wrapText="1"/>
    </xf>
    <xf numFmtId="165" fontId="22" fillId="11" borderId="4" xfId="0" applyNumberFormat="1" applyFont="1" applyFill="1" applyBorder="1" applyAlignment="1">
      <alignment horizontal="center" vertical="center" wrapText="1"/>
    </xf>
    <xf numFmtId="166" fontId="22" fillId="11" borderId="4" xfId="0" applyNumberFormat="1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center" vertical="center" wrapText="1"/>
    </xf>
    <xf numFmtId="0" fontId="22" fillId="23" borderId="4" xfId="0" applyFont="1" applyFill="1" applyBorder="1" applyAlignment="1">
      <alignment horizontal="center" vertical="center" wrapText="1"/>
    </xf>
    <xf numFmtId="165" fontId="22" fillId="23" borderId="4" xfId="0" applyNumberFormat="1" applyFont="1" applyFill="1" applyBorder="1" applyAlignment="1">
      <alignment horizontal="center" vertical="center" wrapText="1"/>
    </xf>
    <xf numFmtId="166" fontId="22" fillId="23" borderId="4" xfId="0" applyNumberFormat="1" applyFont="1" applyFill="1" applyBorder="1" applyAlignment="1">
      <alignment horizontal="center" vertical="center" wrapText="1"/>
    </xf>
    <xf numFmtId="0" fontId="18" fillId="23" borderId="4" xfId="0" applyFont="1" applyFill="1" applyBorder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17" fillId="9" borderId="0" xfId="0" applyFont="1" applyFill="1"/>
    <xf numFmtId="0" fontId="22" fillId="28" borderId="4" xfId="0" applyFont="1" applyFill="1" applyBorder="1" applyAlignment="1">
      <alignment horizontal="center" vertical="center" wrapText="1"/>
    </xf>
    <xf numFmtId="165" fontId="22" fillId="28" borderId="4" xfId="0" applyNumberFormat="1" applyFont="1" applyFill="1" applyBorder="1" applyAlignment="1">
      <alignment horizontal="center" vertical="center" wrapText="1"/>
    </xf>
    <xf numFmtId="166" fontId="22" fillId="28" borderId="4" xfId="0" applyNumberFormat="1" applyFont="1" applyFill="1" applyBorder="1" applyAlignment="1">
      <alignment horizontal="center" vertical="center" wrapText="1"/>
    </xf>
    <xf numFmtId="0" fontId="18" fillId="28" borderId="4" xfId="0" applyFont="1" applyFill="1" applyBorder="1" applyAlignment="1">
      <alignment horizontal="center" vertical="center" wrapText="1"/>
    </xf>
    <xf numFmtId="166" fontId="22" fillId="9" borderId="0" xfId="0" applyNumberFormat="1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22" fillId="29" borderId="4" xfId="0" applyFont="1" applyFill="1" applyBorder="1" applyAlignment="1">
      <alignment horizontal="center" vertical="center" wrapText="1"/>
    </xf>
    <xf numFmtId="165" fontId="22" fillId="29" borderId="4" xfId="0" applyNumberFormat="1" applyFont="1" applyFill="1" applyBorder="1" applyAlignment="1">
      <alignment horizontal="center" vertical="center" wrapText="1"/>
    </xf>
    <xf numFmtId="166" fontId="22" fillId="29" borderId="4" xfId="0" applyNumberFormat="1" applyFont="1" applyFill="1" applyBorder="1" applyAlignment="1">
      <alignment horizontal="center" vertical="center" wrapText="1"/>
    </xf>
    <xf numFmtId="0" fontId="18" fillId="29" borderId="4" xfId="0" applyFont="1" applyFill="1" applyBorder="1" applyAlignment="1">
      <alignment horizontal="center" vertical="center" wrapText="1"/>
    </xf>
    <xf numFmtId="0" fontId="17" fillId="25" borderId="0" xfId="0" applyFont="1" applyFill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165" fontId="22" fillId="2" borderId="4" xfId="0" applyNumberFormat="1" applyFont="1" applyFill="1" applyBorder="1" applyAlignment="1">
      <alignment horizontal="center" vertical="center" wrapText="1"/>
    </xf>
    <xf numFmtId="166" fontId="22" fillId="2" borderId="4" xfId="0" applyNumberFormat="1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3" fillId="4" borderId="18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5" fillId="18" borderId="0" xfId="0" applyFont="1" applyFill="1" applyAlignment="1">
      <alignment horizontal="center" vertical="center" wrapText="1"/>
    </xf>
    <xf numFmtId="0" fontId="15" fillId="19" borderId="0" xfId="0" applyFont="1" applyFill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20" xfId="0" applyFont="1" applyFill="1" applyBorder="1" applyAlignment="1">
      <alignment vertical="center" wrapText="1"/>
    </xf>
    <xf numFmtId="0" fontId="25" fillId="31" borderId="4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 wrapText="1"/>
    </xf>
    <xf numFmtId="0" fontId="23" fillId="4" borderId="23" xfId="0" applyFont="1" applyFill="1" applyBorder="1" applyAlignment="1">
      <alignment horizontal="center" vertical="center" wrapText="1"/>
    </xf>
    <xf numFmtId="0" fontId="23" fillId="4" borderId="25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9" borderId="28" xfId="0" applyFont="1" applyFill="1" applyBorder="1" applyAlignment="1">
      <alignment horizontal="center" vertical="center" wrapText="1"/>
    </xf>
    <xf numFmtId="0" fontId="8" fillId="8" borderId="25" xfId="0" applyFont="1" applyFill="1" applyBorder="1" applyAlignment="1">
      <alignment horizontal="center" vertical="center" wrapText="1"/>
    </xf>
    <xf numFmtId="0" fontId="26" fillId="33" borderId="14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8" fillId="32" borderId="8" xfId="0" applyFont="1" applyFill="1" applyBorder="1" applyAlignment="1">
      <alignment horizontal="center" vertical="center" wrapText="1"/>
    </xf>
    <xf numFmtId="0" fontId="28" fillId="32" borderId="4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7" fillId="33" borderId="7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34" borderId="4" xfId="0" applyFont="1" applyFill="1" applyBorder="1" applyAlignment="1">
      <alignment horizontal="center" vertical="center" wrapText="1"/>
    </xf>
    <xf numFmtId="0" fontId="26" fillId="33" borderId="11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29" fillId="33" borderId="4" xfId="0" applyFont="1" applyFill="1" applyBorder="1" applyAlignment="1">
      <alignment horizontal="center" vertical="center" wrapText="1"/>
    </xf>
    <xf numFmtId="0" fontId="26" fillId="33" borderId="0" xfId="0" applyFont="1" applyFill="1" applyAlignment="1">
      <alignment horizontal="center" vertical="center" wrapText="1"/>
    </xf>
    <xf numFmtId="0" fontId="26" fillId="33" borderId="7" xfId="0" applyFont="1" applyFill="1" applyBorder="1" applyAlignment="1">
      <alignment horizontal="center" vertical="center" wrapText="1"/>
    </xf>
    <xf numFmtId="0" fontId="26" fillId="33" borderId="6" xfId="0" applyFont="1" applyFill="1" applyBorder="1" applyAlignment="1">
      <alignment horizontal="center" vertical="center" wrapText="1"/>
    </xf>
    <xf numFmtId="0" fontId="1" fillId="32" borderId="14" xfId="0" applyFont="1" applyFill="1" applyBorder="1" applyAlignment="1">
      <alignment horizontal="center" vertical="center" wrapText="1"/>
    </xf>
    <xf numFmtId="0" fontId="1" fillId="32" borderId="17" xfId="0" applyFont="1" applyFill="1" applyBorder="1" applyAlignment="1">
      <alignment horizontal="center" vertical="center" wrapText="1"/>
    </xf>
    <xf numFmtId="0" fontId="1" fillId="34" borderId="11" xfId="0" applyFont="1" applyFill="1" applyBorder="1" applyAlignment="1">
      <alignment horizontal="center" vertical="center" wrapText="1"/>
    </xf>
    <xf numFmtId="0" fontId="1" fillId="34" borderId="14" xfId="0" applyFont="1" applyFill="1" applyBorder="1" applyAlignment="1">
      <alignment horizontal="center" vertical="center" wrapText="1"/>
    </xf>
    <xf numFmtId="0" fontId="1" fillId="34" borderId="17" xfId="0" applyFont="1" applyFill="1" applyBorder="1" applyAlignment="1">
      <alignment horizontal="center" vertical="center" wrapText="1"/>
    </xf>
    <xf numFmtId="0" fontId="1" fillId="34" borderId="7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horizontal="center" vertical="center" wrapText="1"/>
    </xf>
    <xf numFmtId="0" fontId="1" fillId="36" borderId="11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37" borderId="14" xfId="0" applyFont="1" applyFill="1" applyBorder="1" applyAlignment="1">
      <alignment horizontal="center" vertical="center" wrapText="1"/>
    </xf>
    <xf numFmtId="0" fontId="1" fillId="32" borderId="32" xfId="0" applyFont="1" applyFill="1" applyBorder="1" applyAlignment="1">
      <alignment horizontal="center" vertical="center" wrapText="1"/>
    </xf>
    <xf numFmtId="0" fontId="1" fillId="34" borderId="3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27" fillId="17" borderId="0" xfId="0" applyFont="1" applyFill="1" applyAlignment="1">
      <alignment horizontal="center" vertical="center" wrapText="1"/>
    </xf>
    <xf numFmtId="0" fontId="18" fillId="19" borderId="0" xfId="0" applyFont="1" applyFill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 wrapText="1"/>
    </xf>
    <xf numFmtId="0" fontId="1" fillId="20" borderId="39" xfId="0" applyFont="1" applyFill="1" applyBorder="1" applyAlignment="1">
      <alignment vertical="center" wrapText="1"/>
    </xf>
    <xf numFmtId="0" fontId="1" fillId="38" borderId="11" xfId="0" applyFont="1" applyFill="1" applyBorder="1" applyAlignment="1">
      <alignment horizontal="center" vertical="center" wrapText="1"/>
    </xf>
    <xf numFmtId="0" fontId="1" fillId="34" borderId="5" xfId="0" applyFont="1" applyFill="1" applyBorder="1" applyAlignment="1">
      <alignment vertical="center" wrapText="1"/>
    </xf>
    <xf numFmtId="0" fontId="1" fillId="36" borderId="41" xfId="0" applyFont="1" applyFill="1" applyBorder="1" applyAlignment="1">
      <alignment vertical="center" wrapText="1"/>
    </xf>
    <xf numFmtId="0" fontId="1" fillId="32" borderId="37" xfId="0" applyFont="1" applyFill="1" applyBorder="1" applyAlignment="1">
      <alignment horizontal="center" vertical="center" wrapText="1"/>
    </xf>
    <xf numFmtId="0" fontId="18" fillId="39" borderId="18" xfId="0" applyFont="1" applyFill="1" applyBorder="1" applyAlignment="1">
      <alignment horizontal="center" vertical="center" wrapText="1"/>
    </xf>
    <xf numFmtId="0" fontId="18" fillId="9" borderId="0" xfId="0" applyFont="1" applyFill="1" applyAlignment="1">
      <alignment vertical="center" wrapText="1"/>
    </xf>
    <xf numFmtId="0" fontId="20" fillId="40" borderId="4" xfId="0" applyFont="1" applyFill="1" applyBorder="1" applyAlignment="1">
      <alignment horizontal="center" vertical="center" wrapText="1"/>
    </xf>
    <xf numFmtId="0" fontId="18" fillId="40" borderId="0" xfId="0" applyFont="1" applyFill="1" applyAlignment="1">
      <alignment horizontal="center" vertical="center" wrapText="1"/>
    </xf>
    <xf numFmtId="0" fontId="1" fillId="35" borderId="4" xfId="0" applyFont="1" applyFill="1" applyBorder="1" applyAlignment="1">
      <alignment horizontal="center" vertical="center" wrapText="1"/>
    </xf>
    <xf numFmtId="0" fontId="11" fillId="33" borderId="7" xfId="0" applyFont="1" applyFill="1" applyBorder="1" applyAlignment="1">
      <alignment horizontal="center" vertical="center" wrapText="1"/>
    </xf>
    <xf numFmtId="0" fontId="1" fillId="32" borderId="4" xfId="0" applyFont="1" applyFill="1" applyBorder="1" applyAlignment="1">
      <alignment horizontal="center" vertical="center" wrapText="1"/>
    </xf>
    <xf numFmtId="0" fontId="1" fillId="41" borderId="4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32" borderId="11" xfId="0" applyFont="1" applyFill="1" applyBorder="1" applyAlignment="1">
      <alignment horizontal="center" vertical="center" wrapText="1"/>
    </xf>
    <xf numFmtId="0" fontId="1" fillId="42" borderId="14" xfId="0" applyFont="1" applyFill="1" applyBorder="1" applyAlignment="1">
      <alignment horizontal="center" vertical="center" wrapText="1"/>
    </xf>
    <xf numFmtId="0" fontId="1" fillId="33" borderId="4" xfId="0" applyFont="1" applyFill="1" applyBorder="1" applyAlignment="1">
      <alignment horizontal="center" vertical="center" wrapText="1"/>
    </xf>
    <xf numFmtId="0" fontId="1" fillId="34" borderId="11" xfId="0" applyFont="1" applyFill="1" applyBorder="1" applyAlignment="1">
      <alignment horizontal="center" vertical="top" wrapText="1"/>
    </xf>
    <xf numFmtId="0" fontId="11" fillId="33" borderId="4" xfId="0" applyFont="1" applyFill="1" applyBorder="1" applyAlignment="1">
      <alignment horizontal="center" vertical="center" wrapText="1"/>
    </xf>
    <xf numFmtId="0" fontId="1" fillId="16" borderId="17" xfId="0" applyFont="1" applyFill="1" applyBorder="1" applyAlignment="1">
      <alignment horizontal="center" vertical="center" wrapText="1"/>
    </xf>
    <xf numFmtId="0" fontId="1" fillId="16" borderId="11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32" borderId="40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29" fillId="33" borderId="1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33" borderId="14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33" borderId="11" xfId="0" applyFont="1" applyFill="1" applyBorder="1" applyAlignment="1">
      <alignment horizontal="center" vertical="center" wrapText="1"/>
    </xf>
    <xf numFmtId="0" fontId="28" fillId="32" borderId="18" xfId="0" applyFont="1" applyFill="1" applyBorder="1" applyAlignment="1">
      <alignment horizontal="center" vertical="center" wrapText="1"/>
    </xf>
    <xf numFmtId="0" fontId="1" fillId="44" borderId="17" xfId="0" applyFont="1" applyFill="1" applyBorder="1" applyAlignment="1">
      <alignment horizontal="center" vertical="center" wrapText="1"/>
    </xf>
    <xf numFmtId="0" fontId="1" fillId="34" borderId="7" xfId="0" applyFont="1" applyFill="1" applyBorder="1" applyAlignment="1">
      <alignment vertical="center" wrapText="1"/>
    </xf>
    <xf numFmtId="0" fontId="18" fillId="32" borderId="14" xfId="0" applyFont="1" applyFill="1" applyBorder="1" applyAlignment="1">
      <alignment horizontal="center" vertical="center" wrapText="1"/>
    </xf>
    <xf numFmtId="0" fontId="1" fillId="16" borderId="21" xfId="0" applyFont="1" applyFill="1" applyBorder="1" applyAlignment="1">
      <alignment horizontal="center" vertical="center" wrapText="1"/>
    </xf>
    <xf numFmtId="0" fontId="1" fillId="32" borderId="6" xfId="0" applyFont="1" applyFill="1" applyBorder="1" applyAlignment="1">
      <alignment horizontal="center" vertical="center" wrapText="1"/>
    </xf>
    <xf numFmtId="0" fontId="1" fillId="32" borderId="21" xfId="0" applyFont="1" applyFill="1" applyBorder="1" applyAlignment="1">
      <alignment horizontal="center" vertical="center" wrapText="1"/>
    </xf>
    <xf numFmtId="0" fontId="1" fillId="35" borderId="6" xfId="0" applyFont="1" applyFill="1" applyBorder="1" applyAlignment="1">
      <alignment vertical="center" wrapText="1"/>
    </xf>
    <xf numFmtId="0" fontId="1" fillId="45" borderId="21" xfId="0" applyFont="1" applyFill="1" applyBorder="1" applyAlignment="1">
      <alignment horizontal="center" vertical="center" wrapText="1"/>
    </xf>
    <xf numFmtId="0" fontId="29" fillId="33" borderId="11" xfId="0" applyFont="1" applyFill="1" applyBorder="1" applyAlignment="1">
      <alignment horizontal="center" vertical="center" wrapText="1"/>
    </xf>
    <xf numFmtId="0" fontId="18" fillId="16" borderId="14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33" fillId="33" borderId="17" xfId="0" applyFont="1" applyFill="1" applyBorder="1" applyAlignment="1">
      <alignment horizontal="center" vertical="center" wrapText="1"/>
    </xf>
    <xf numFmtId="0" fontId="33" fillId="33" borderId="11" xfId="0" applyFont="1" applyFill="1" applyBorder="1" applyAlignment="1">
      <alignment horizontal="center" vertical="center" wrapText="1"/>
    </xf>
    <xf numFmtId="0" fontId="1" fillId="44" borderId="14" xfId="0" applyFont="1" applyFill="1" applyBorder="1" applyAlignment="1">
      <alignment horizontal="center" vertical="center" wrapText="1"/>
    </xf>
    <xf numFmtId="0" fontId="1" fillId="46" borderId="14" xfId="0" applyFont="1" applyFill="1" applyBorder="1" applyAlignment="1">
      <alignment horizontal="center" vertical="center" wrapText="1"/>
    </xf>
    <xf numFmtId="0" fontId="1" fillId="46" borderId="11" xfId="0" applyFont="1" applyFill="1" applyBorder="1" applyAlignment="1">
      <alignment horizontal="center" vertical="center" wrapText="1"/>
    </xf>
    <xf numFmtId="0" fontId="26" fillId="33" borderId="17" xfId="0" applyFont="1" applyFill="1" applyBorder="1" applyAlignment="1">
      <alignment horizontal="center" vertical="center" wrapText="1"/>
    </xf>
    <xf numFmtId="0" fontId="1" fillId="16" borderId="7" xfId="0" applyFont="1" applyFill="1" applyBorder="1" applyAlignment="1">
      <alignment horizontal="center" vertical="center" wrapText="1"/>
    </xf>
    <xf numFmtId="1" fontId="1" fillId="6" borderId="47" xfId="0" applyNumberFormat="1" applyFont="1" applyFill="1" applyBorder="1" applyAlignment="1">
      <alignment horizontal="left" vertical="center" wrapText="1"/>
    </xf>
    <xf numFmtId="0" fontId="1" fillId="9" borderId="19" xfId="0" applyFont="1" applyFill="1" applyBorder="1" applyAlignment="1">
      <alignment horizontal="center" vertical="center" wrapText="1"/>
    </xf>
    <xf numFmtId="1" fontId="1" fillId="6" borderId="35" xfId="0" applyNumberFormat="1" applyFont="1" applyFill="1" applyBorder="1" applyAlignment="1">
      <alignment horizontal="left" vertical="center" wrapText="1"/>
    </xf>
    <xf numFmtId="0" fontId="1" fillId="34" borderId="14" xfId="0" applyFont="1" applyFill="1" applyBorder="1" applyAlignment="1">
      <alignment horizontal="center" vertical="top" wrapText="1"/>
    </xf>
    <xf numFmtId="0" fontId="1" fillId="33" borderId="17" xfId="0" applyFont="1" applyFill="1" applyBorder="1" applyAlignment="1">
      <alignment horizontal="center" vertical="center" wrapText="1"/>
    </xf>
    <xf numFmtId="0" fontId="1" fillId="34" borderId="29" xfId="0" applyFont="1" applyFill="1" applyBorder="1" applyAlignment="1">
      <alignment vertical="center" wrapText="1"/>
    </xf>
    <xf numFmtId="0" fontId="1" fillId="34" borderId="21" xfId="0" applyFont="1" applyFill="1" applyBorder="1" applyAlignment="1">
      <alignment vertical="center" wrapText="1"/>
    </xf>
    <xf numFmtId="0" fontId="1" fillId="37" borderId="5" xfId="0" applyFont="1" applyFill="1" applyBorder="1" applyAlignment="1">
      <alignment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49" fontId="3" fillId="2" borderId="18" xfId="0" quotePrefix="1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/>
    <xf numFmtId="0" fontId="4" fillId="0" borderId="19" xfId="0" applyFont="1" applyBorder="1" applyAlignment="1"/>
    <xf numFmtId="0" fontId="6" fillId="5" borderId="7" xfId="0" applyFont="1" applyFill="1" applyBorder="1" applyAlignment="1">
      <alignment horizontal="center" vertical="center" wrapText="1"/>
    </xf>
    <xf numFmtId="0" fontId="4" fillId="0" borderId="5" xfId="0" applyFont="1" applyBorder="1" applyAlignment="1"/>
    <xf numFmtId="0" fontId="4" fillId="0" borderId="6" xfId="0" applyFont="1" applyBorder="1" applyAlignment="1"/>
    <xf numFmtId="0" fontId="3" fillId="30" borderId="18" xfId="0" applyFont="1" applyFill="1" applyBorder="1" applyAlignment="1">
      <alignment horizontal="center" vertical="center" wrapText="1"/>
    </xf>
    <xf numFmtId="0" fontId="3" fillId="30" borderId="3" xfId="0" applyFont="1" applyFill="1" applyBorder="1" applyAlignment="1">
      <alignment horizontal="center" vertical="center" wrapText="1"/>
    </xf>
    <xf numFmtId="0" fontId="3" fillId="30" borderId="19" xfId="0" applyFont="1" applyFill="1" applyBorder="1" applyAlignment="1">
      <alignment horizontal="center" vertical="center" wrapText="1"/>
    </xf>
    <xf numFmtId="0" fontId="1" fillId="46" borderId="7" xfId="0" applyFont="1" applyFill="1" applyBorder="1" applyAlignment="1">
      <alignment horizontal="center" vertical="center" wrapText="1"/>
    </xf>
    <xf numFmtId="0" fontId="1" fillId="46" borderId="5" xfId="0" applyFont="1" applyFill="1" applyBorder="1" applyAlignment="1">
      <alignment horizontal="center" vertical="center" wrapText="1"/>
    </xf>
    <xf numFmtId="0" fontId="1" fillId="46" borderId="6" xfId="0" applyFont="1" applyFill="1" applyBorder="1" applyAlignment="1">
      <alignment horizontal="center" vertical="center" wrapText="1"/>
    </xf>
    <xf numFmtId="0" fontId="35" fillId="46" borderId="7" xfId="0" applyFont="1" applyFill="1" applyBorder="1" applyAlignment="1">
      <alignment horizontal="center" vertical="center" wrapText="1"/>
    </xf>
    <xf numFmtId="0" fontId="34" fillId="46" borderId="5" xfId="0" applyFont="1" applyFill="1" applyBorder="1" applyAlignment="1">
      <alignment horizontal="center" vertical="center" wrapText="1"/>
    </xf>
    <xf numFmtId="0" fontId="34" fillId="46" borderId="6" xfId="0" applyFont="1" applyFill="1" applyBorder="1" applyAlignment="1">
      <alignment horizontal="center" vertical="center" wrapText="1"/>
    </xf>
    <xf numFmtId="0" fontId="1" fillId="46" borderId="29" xfId="0" applyFont="1" applyFill="1" applyBorder="1" applyAlignment="1">
      <alignment horizontal="center" vertical="center" wrapText="1"/>
    </xf>
    <xf numFmtId="0" fontId="1" fillId="34" borderId="7" xfId="0" applyFont="1" applyFill="1" applyBorder="1" applyAlignment="1">
      <alignment horizontal="center" vertical="center" wrapText="1"/>
    </xf>
    <xf numFmtId="0" fontId="1" fillId="34" borderId="6" xfId="0" applyFont="1" applyFill="1" applyBorder="1" applyAlignment="1">
      <alignment horizontal="center" vertical="center" wrapText="1"/>
    </xf>
    <xf numFmtId="0" fontId="29" fillId="33" borderId="7" xfId="0" applyFont="1" applyFill="1" applyBorder="1" applyAlignment="1">
      <alignment horizontal="center" vertical="center" wrapText="1"/>
    </xf>
    <xf numFmtId="0" fontId="29" fillId="33" borderId="5" xfId="0" applyFont="1" applyFill="1" applyBorder="1" applyAlignment="1">
      <alignment horizontal="center" vertical="center" wrapText="1"/>
    </xf>
    <xf numFmtId="0" fontId="29" fillId="33" borderId="6" xfId="0" applyFont="1" applyFill="1" applyBorder="1" applyAlignment="1">
      <alignment horizontal="center" vertical="center" wrapText="1"/>
    </xf>
    <xf numFmtId="0" fontId="1" fillId="46" borderId="21" xfId="0" applyFont="1" applyFill="1" applyBorder="1" applyAlignment="1">
      <alignment horizontal="center" vertical="center" wrapText="1"/>
    </xf>
    <xf numFmtId="0" fontId="1" fillId="34" borderId="29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textRotation="90" wrapText="1"/>
    </xf>
    <xf numFmtId="0" fontId="9" fillId="7" borderId="5" xfId="0" applyFont="1" applyFill="1" applyBorder="1" applyAlignment="1">
      <alignment horizontal="center" vertical="center" textRotation="90" wrapText="1"/>
    </xf>
    <xf numFmtId="0" fontId="9" fillId="7" borderId="6" xfId="0" applyFont="1" applyFill="1" applyBorder="1" applyAlignment="1">
      <alignment horizontal="center" vertical="center" textRotation="90" wrapText="1"/>
    </xf>
    <xf numFmtId="0" fontId="24" fillId="7" borderId="7" xfId="0" applyFont="1" applyFill="1" applyBorder="1" applyAlignment="1">
      <alignment horizontal="center" vertical="center" textRotation="90" wrapText="1"/>
    </xf>
    <xf numFmtId="0" fontId="12" fillId="0" borderId="5" xfId="0" applyFont="1" applyBorder="1" applyAlignment="1"/>
    <xf numFmtId="0" fontId="12" fillId="0" borderId="6" xfId="0" applyFont="1" applyBorder="1" applyAlignment="1"/>
    <xf numFmtId="0" fontId="18" fillId="34" borderId="7" xfId="0" applyFont="1" applyFill="1" applyBorder="1" applyAlignment="1">
      <alignment horizontal="center" vertical="center" wrapText="1"/>
    </xf>
    <xf numFmtId="0" fontId="18" fillId="34" borderId="6" xfId="0" applyFont="1" applyFill="1" applyBorder="1" applyAlignment="1">
      <alignment horizontal="center" vertical="center" wrapText="1"/>
    </xf>
    <xf numFmtId="0" fontId="1" fillId="34" borderId="5" xfId="0" applyFont="1" applyFill="1" applyBorder="1" applyAlignment="1">
      <alignment horizontal="center" vertical="center" wrapText="1"/>
    </xf>
    <xf numFmtId="0" fontId="1" fillId="34" borderId="21" xfId="0" applyFont="1" applyFill="1" applyBorder="1" applyAlignment="1">
      <alignment horizontal="center" vertical="center" wrapText="1"/>
    </xf>
    <xf numFmtId="0" fontId="3" fillId="30" borderId="20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12" fillId="0" borderId="2" xfId="0" applyFont="1" applyBorder="1" applyAlignment="1"/>
    <xf numFmtId="0" fontId="1" fillId="34" borderId="4" xfId="0" applyFont="1" applyFill="1" applyBorder="1" applyAlignment="1">
      <alignment horizontal="center" vertical="center" wrapText="1"/>
    </xf>
    <xf numFmtId="0" fontId="12" fillId="0" borderId="40" xfId="0" applyFont="1" applyBorder="1" applyAlignment="1"/>
    <xf numFmtId="0" fontId="1" fillId="34" borderId="42" xfId="0" applyFont="1" applyFill="1" applyBorder="1" applyAlignment="1">
      <alignment horizontal="center" vertical="center" wrapText="1"/>
    </xf>
    <xf numFmtId="0" fontId="1" fillId="34" borderId="43" xfId="0" applyFont="1" applyFill="1" applyBorder="1" applyAlignment="1">
      <alignment horizontal="center" vertical="center" wrapText="1"/>
    </xf>
    <xf numFmtId="0" fontId="1" fillId="34" borderId="41" xfId="0" applyFont="1" applyFill="1" applyBorder="1" applyAlignment="1">
      <alignment horizontal="center" vertical="center" wrapText="1"/>
    </xf>
    <xf numFmtId="0" fontId="26" fillId="33" borderId="7" xfId="0" applyFont="1" applyFill="1" applyBorder="1" applyAlignment="1">
      <alignment horizontal="center" vertical="center" wrapText="1"/>
    </xf>
    <xf numFmtId="0" fontId="26" fillId="33" borderId="5" xfId="0" applyFont="1" applyFill="1" applyBorder="1" applyAlignment="1">
      <alignment horizontal="center" vertical="center" wrapText="1"/>
    </xf>
    <xf numFmtId="0" fontId="26" fillId="33" borderId="6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1" fillId="34" borderId="35" xfId="0" applyFont="1" applyFill="1" applyBorder="1" applyAlignment="1">
      <alignment horizontal="center" vertical="center" wrapText="1"/>
    </xf>
    <xf numFmtId="0" fontId="1" fillId="34" borderId="2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textRotation="90" wrapText="1"/>
    </xf>
    <xf numFmtId="0" fontId="9" fillId="7" borderId="2" xfId="0" applyFont="1" applyFill="1" applyBorder="1" applyAlignment="1">
      <alignment horizontal="center" vertical="center" textRotation="90" wrapText="1"/>
    </xf>
    <xf numFmtId="0" fontId="1" fillId="33" borderId="8" xfId="0" applyFont="1" applyFill="1" applyBorder="1" applyAlignment="1">
      <alignment horizontal="center" vertical="center" wrapText="1"/>
    </xf>
    <xf numFmtId="0" fontId="1" fillId="33" borderId="36" xfId="0" applyFont="1" applyFill="1" applyBorder="1" applyAlignment="1">
      <alignment horizontal="center" vertical="center" wrapText="1"/>
    </xf>
    <xf numFmtId="0" fontId="1" fillId="33" borderId="5" xfId="0" applyFont="1" applyFill="1" applyBorder="1" applyAlignment="1">
      <alignment horizontal="center" vertical="center" wrapText="1"/>
    </xf>
    <xf numFmtId="0" fontId="1" fillId="33" borderId="6" xfId="0" applyFont="1" applyFill="1" applyBorder="1" applyAlignment="1">
      <alignment horizontal="center" vertical="center" wrapText="1"/>
    </xf>
    <xf numFmtId="0" fontId="26" fillId="33" borderId="2" xfId="0" applyFont="1" applyFill="1" applyBorder="1" applyAlignment="1">
      <alignment horizontal="center" vertical="center" wrapText="1"/>
    </xf>
    <xf numFmtId="0" fontId="27" fillId="17" borderId="7" xfId="0" applyFont="1" applyFill="1" applyBorder="1" applyAlignment="1">
      <alignment horizontal="center" vertical="center" wrapText="1"/>
    </xf>
    <xf numFmtId="0" fontId="27" fillId="17" borderId="5" xfId="0" applyFont="1" applyFill="1" applyBorder="1" applyAlignment="1">
      <alignment horizontal="center" vertical="center" wrapText="1"/>
    </xf>
    <xf numFmtId="0" fontId="27" fillId="17" borderId="6" xfId="0" applyFont="1" applyFill="1" applyBorder="1" applyAlignment="1">
      <alignment horizontal="center" vertical="center" wrapText="1"/>
    </xf>
    <xf numFmtId="0" fontId="1" fillId="32" borderId="7" xfId="0" applyFont="1" applyFill="1" applyBorder="1" applyAlignment="1">
      <alignment horizontal="center" vertical="center" wrapText="1"/>
    </xf>
    <xf numFmtId="0" fontId="1" fillId="32" borderId="36" xfId="0" applyFont="1" applyFill="1" applyBorder="1" applyAlignment="1">
      <alignment horizontal="center" vertical="center" wrapText="1"/>
    </xf>
    <xf numFmtId="0" fontId="1" fillId="32" borderId="22" xfId="0" applyFont="1" applyFill="1" applyBorder="1" applyAlignment="1">
      <alignment horizontal="center" vertical="center" wrapText="1"/>
    </xf>
    <xf numFmtId="0" fontId="27" fillId="17" borderId="21" xfId="0" applyFont="1" applyFill="1" applyBorder="1" applyAlignment="1">
      <alignment horizontal="center" vertical="center" wrapText="1"/>
    </xf>
    <xf numFmtId="0" fontId="18" fillId="34" borderId="5" xfId="0" applyFont="1" applyFill="1" applyBorder="1" applyAlignment="1">
      <alignment horizontal="center" vertical="center" wrapText="1"/>
    </xf>
    <xf numFmtId="0" fontId="1" fillId="32" borderId="44" xfId="0" applyFont="1" applyFill="1" applyBorder="1" applyAlignment="1">
      <alignment horizontal="center" vertical="center" wrapText="1"/>
    </xf>
    <xf numFmtId="0" fontId="1" fillId="32" borderId="45" xfId="0" applyFont="1" applyFill="1" applyBorder="1" applyAlignment="1">
      <alignment horizontal="center" vertical="center" wrapText="1"/>
    </xf>
    <xf numFmtId="0" fontId="1" fillId="32" borderId="29" xfId="0" applyFont="1" applyFill="1" applyBorder="1" applyAlignment="1">
      <alignment horizontal="center" vertical="center" wrapText="1"/>
    </xf>
    <xf numFmtId="0" fontId="1" fillId="32" borderId="21" xfId="0" applyFont="1" applyFill="1" applyBorder="1" applyAlignment="1">
      <alignment horizontal="center" vertical="center" wrapText="1"/>
    </xf>
    <xf numFmtId="0" fontId="1" fillId="38" borderId="7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vertical="center" wrapText="1"/>
    </xf>
    <xf numFmtId="0" fontId="1" fillId="32" borderId="5" xfId="0" applyFont="1" applyFill="1" applyBorder="1" applyAlignment="1">
      <alignment horizontal="center" vertical="center" wrapText="1"/>
    </xf>
    <xf numFmtId="0" fontId="1" fillId="32" borderId="6" xfId="0" applyFont="1" applyFill="1" applyBorder="1" applyAlignment="1">
      <alignment horizontal="center" vertical="center" wrapText="1"/>
    </xf>
    <xf numFmtId="0" fontId="29" fillId="33" borderId="21" xfId="0" applyFont="1" applyFill="1" applyBorder="1" applyAlignment="1">
      <alignment horizontal="center" vertical="center" wrapText="1"/>
    </xf>
    <xf numFmtId="0" fontId="1" fillId="16" borderId="29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29" fillId="33" borderId="29" xfId="0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30" fillId="43" borderId="7" xfId="0" applyFont="1" applyFill="1" applyBorder="1" applyAlignment="1">
      <alignment horizontal="center" vertical="center" wrapText="1"/>
    </xf>
    <xf numFmtId="0" fontId="30" fillId="43" borderId="5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7" fillId="26" borderId="7" xfId="0" applyFont="1" applyFill="1" applyBorder="1" applyAlignment="1">
      <alignment horizontal="center" vertical="center"/>
    </xf>
    <xf numFmtId="0" fontId="12" fillId="26" borderId="6" xfId="0" applyFont="1" applyFill="1" applyBorder="1" applyAlignment="1"/>
    <xf numFmtId="0" fontId="18" fillId="9" borderId="0" xfId="0" applyFont="1" applyFill="1" applyAlignment="1">
      <alignment horizontal="center" vertical="center" wrapText="1"/>
    </xf>
    <xf numFmtId="0" fontId="0" fillId="0" borderId="0" xfId="0" applyAlignment="1"/>
    <xf numFmtId="0" fontId="18" fillId="13" borderId="8" xfId="0" applyFont="1" applyFill="1" applyBorder="1" applyAlignment="1">
      <alignment horizontal="center" vertical="center" wrapText="1"/>
    </xf>
    <xf numFmtId="0" fontId="12" fillId="0" borderId="22" xfId="0" applyFont="1" applyBorder="1" applyAlignment="1"/>
    <xf numFmtId="0" fontId="18" fillId="23" borderId="18" xfId="0" applyFont="1" applyFill="1" applyBorder="1" applyAlignment="1">
      <alignment horizontal="center" vertical="center" wrapText="1"/>
    </xf>
    <xf numFmtId="0" fontId="12" fillId="0" borderId="3" xfId="0" applyFont="1" applyBorder="1" applyAlignment="1"/>
    <xf numFmtId="0" fontId="18" fillId="11" borderId="18" xfId="0" applyFont="1" applyFill="1" applyBorder="1" applyAlignment="1">
      <alignment horizontal="center" vertical="center" wrapText="1"/>
    </xf>
    <xf numFmtId="0" fontId="18" fillId="38" borderId="22" xfId="0" applyFont="1" applyFill="1" applyBorder="1" applyAlignment="1">
      <alignment horizontal="center" vertical="center" wrapText="1"/>
    </xf>
    <xf numFmtId="0" fontId="18" fillId="38" borderId="1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/>
    </xf>
    <xf numFmtId="0" fontId="17" fillId="29" borderId="7" xfId="0" applyFont="1" applyFill="1" applyBorder="1" applyAlignment="1">
      <alignment horizontal="center" vertical="center"/>
    </xf>
    <xf numFmtId="0" fontId="17" fillId="28" borderId="7" xfId="0" applyFont="1" applyFill="1" applyBorder="1" applyAlignment="1">
      <alignment horizontal="center" vertical="center"/>
    </xf>
    <xf numFmtId="0" fontId="17" fillId="23" borderId="7" xfId="0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91AB"/>
      <color rgb="FFEA9999"/>
      <color rgb="FFFFFF00"/>
      <color rgb="FFD6A7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 BOSQ" id="{21820D13-47A4-42E4-B78D-C2FBBB2A5432}" userId="S::wbosq@hemotech.fr::b0453824-2820-4d27-8fae-e1a86fe20bfd" providerId="AD"/>
  <person displayName="Alexis BESSE" id="{96F063C9-7907-4716-B929-80AF8441BA91}" userId="S::abesse@hemotech.fr::1000924c-587b-4f37-bcfe-355060f2604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7" dT="2026-04-28T09:42:39.04" personId="{96F063C9-7907-4716-B929-80AF8441BA91}" id="{E6586D65-FB08-4242-BB27-BC5BA3CB9084}">
    <text xml:space="preserve">Remplacement des colonnes Adou + investigation relargage saumure
Raccordement extension boucle eco puis desinfection osmoseur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1" dT="2026-05-12T12:52:49.82" personId="{21820D13-47A4-42E4-B78D-C2FBBB2A5432}" id="{2B0B205F-55A1-A14A-837F-EAE34AA0BE30}">
    <text>Mise en service surpresseur mais mise en service TTE impossible car manque matériel bac 0,2 (clamps sites prélèvements et mano).</text>
  </threadedComment>
  <threadedComment ref="R13" dT="2026-04-28T12:46:27.67" personId="{96F063C9-7907-4716-B929-80AF8441BA91}" id="{90586288-BA42-4587-AC07-66D1FDCA01D1}">
    <text>10h A confirmer avec Anne.
16h30 TEAMS ENTRETIEN PE</text>
  </threadedComment>
  <threadedComment ref="R19" dT="2026-04-28T12:37:25.41" personId="{96F063C9-7907-4716-B929-80AF8441BA91}" id="{2EAF52E8-AD61-4E8F-B706-837728DBC7C1}">
    <text>RECEPTION OSMOSEUR 18 MAI 13h30;
Demonter HERCOTHERME pour rentrer l'osmoseur;</text>
  </threadedComment>
  <threadedComment ref="R20" dT="2026-04-28T12:38:57.45" personId="{96F063C9-7907-4716-B929-80AF8441BA91}" id="{2BD7232E-C0CD-4D04-BAF2-494605A2E779}">
    <text>Mise en service Pretraitement + osmoseur.</text>
  </threadedComment>
  <threadedComment ref="R21" dT="2026-04-28T12:41:39.81" personId="{96F063C9-7907-4716-B929-80AF8441BA91}" id="{0D029028-79F5-43D4-A29C-45775D4B6276}">
    <text xml:space="preserve">VISITE devis tte Divion 9h30
+ Cambrai 11h 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showGridLines="0" topLeftCell="A4" workbookViewId="0">
      <pane xSplit="4" topLeftCell="E4" activePane="topRight" state="frozen"/>
      <selection activeCell="I13" sqref="I13"/>
      <selection pane="topRight" activeCell="I13" sqref="I13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0.40234375" customWidth="1"/>
    <col min="12" max="20" width="15.73828125" customWidth="1"/>
    <col min="21" max="21" width="2.95703125" customWidth="1"/>
  </cols>
  <sheetData>
    <row r="1" spans="1:21" ht="9.75" customHeight="1" x14ac:dyDescent="0.2">
      <c r="A1" s="1" t="s">
        <v>0</v>
      </c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1"/>
      <c r="N1" s="1"/>
      <c r="O1" s="1"/>
      <c r="P1" s="4"/>
      <c r="Q1" s="4"/>
      <c r="R1" s="4"/>
      <c r="S1" s="4"/>
      <c r="T1" s="4"/>
      <c r="U1" s="5"/>
    </row>
    <row r="2" spans="1:21" ht="12" customHeight="1" x14ac:dyDescent="0.2">
      <c r="A2" s="6"/>
      <c r="B2" s="208" t="s">
        <v>1</v>
      </c>
      <c r="C2" s="209"/>
      <c r="D2" s="210"/>
      <c r="E2" s="214" t="s">
        <v>2</v>
      </c>
      <c r="F2" s="215"/>
      <c r="G2" s="216"/>
      <c r="H2" s="96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7</v>
      </c>
      <c r="O2" s="77" t="s">
        <v>8</v>
      </c>
      <c r="P2" s="77" t="s">
        <v>9</v>
      </c>
      <c r="Q2" s="77" t="s">
        <v>10</v>
      </c>
      <c r="R2" s="77" t="s">
        <v>11</v>
      </c>
      <c r="S2" s="78" t="s">
        <v>12</v>
      </c>
      <c r="T2" s="79" t="s">
        <v>13</v>
      </c>
      <c r="U2" s="7"/>
    </row>
    <row r="3" spans="1:21" ht="19.899999999999999" customHeight="1" x14ac:dyDescent="0.2">
      <c r="A3" s="6"/>
      <c r="B3" s="211">
        <v>1</v>
      </c>
      <c r="C3" s="8" t="s">
        <v>14</v>
      </c>
      <c r="D3" s="9">
        <v>29</v>
      </c>
      <c r="E3" s="247" t="s">
        <v>15</v>
      </c>
      <c r="F3" s="10"/>
      <c r="G3" s="10"/>
      <c r="H3" s="10"/>
      <c r="I3" s="10"/>
      <c r="J3" s="76" t="s">
        <v>16</v>
      </c>
      <c r="K3" s="10"/>
      <c r="L3" s="10"/>
      <c r="M3" s="126" t="s">
        <v>17</v>
      </c>
      <c r="N3" s="254" t="s">
        <v>18</v>
      </c>
      <c r="O3" s="135" t="s">
        <v>19</v>
      </c>
      <c r="P3" s="126" t="s">
        <v>17</v>
      </c>
      <c r="Q3" s="10"/>
      <c r="R3" s="129" t="s">
        <v>20</v>
      </c>
      <c r="S3" s="224" t="s">
        <v>21</v>
      </c>
      <c r="T3" s="126" t="s">
        <v>17</v>
      </c>
      <c r="U3" s="236" t="s">
        <v>22</v>
      </c>
    </row>
    <row r="4" spans="1:21" ht="30" customHeight="1" x14ac:dyDescent="0.2">
      <c r="A4" s="6"/>
      <c r="B4" s="212"/>
      <c r="C4" s="11" t="s">
        <v>23</v>
      </c>
      <c r="D4" s="12">
        <v>30</v>
      </c>
      <c r="E4" s="237"/>
      <c r="F4" s="13"/>
      <c r="G4" s="13"/>
      <c r="H4" s="13"/>
      <c r="I4" s="13"/>
      <c r="J4" s="13"/>
      <c r="K4" s="13"/>
      <c r="L4" s="13"/>
      <c r="M4" s="125" t="s">
        <v>17</v>
      </c>
      <c r="N4" s="255"/>
      <c r="O4" s="110"/>
      <c r="P4" s="125" t="s">
        <v>17</v>
      </c>
      <c r="Q4" s="13"/>
      <c r="R4" s="131" t="s">
        <v>24</v>
      </c>
      <c r="S4" s="241"/>
      <c r="T4" s="125" t="s">
        <v>17</v>
      </c>
      <c r="U4" s="237"/>
    </row>
    <row r="5" spans="1:21" ht="19.899999999999999" customHeight="1" x14ac:dyDescent="0.2">
      <c r="A5" s="6"/>
      <c r="B5" s="212"/>
      <c r="C5" s="11" t="s">
        <v>25</v>
      </c>
      <c r="D5" s="12">
        <v>31</v>
      </c>
      <c r="E5" s="237"/>
      <c r="F5" s="13"/>
      <c r="G5" s="13"/>
      <c r="H5" s="13"/>
      <c r="I5" s="13"/>
      <c r="J5" s="13"/>
      <c r="K5" s="13"/>
      <c r="L5" s="13"/>
      <c r="M5" s="127" t="s">
        <v>17</v>
      </c>
      <c r="N5" s="255"/>
      <c r="O5" s="13"/>
      <c r="P5" s="127" t="s">
        <v>17</v>
      </c>
      <c r="Q5" s="13"/>
      <c r="R5" s="141" t="s">
        <v>26</v>
      </c>
      <c r="S5" s="242"/>
      <c r="T5" s="127" t="s">
        <v>17</v>
      </c>
      <c r="U5" s="237"/>
    </row>
    <row r="6" spans="1:21" ht="19.899999999999999" customHeight="1" x14ac:dyDescent="0.2">
      <c r="A6" s="6"/>
      <c r="B6" s="212"/>
      <c r="C6" s="11" t="s">
        <v>27</v>
      </c>
      <c r="D6" s="12">
        <v>1</v>
      </c>
      <c r="E6" s="237"/>
      <c r="F6" s="13"/>
      <c r="G6" s="13"/>
      <c r="H6" s="13"/>
      <c r="I6" s="13"/>
      <c r="J6" s="13"/>
      <c r="K6" s="13"/>
      <c r="L6" s="14" t="s">
        <v>28</v>
      </c>
      <c r="M6" s="14" t="s">
        <v>28</v>
      </c>
      <c r="N6" s="255"/>
      <c r="O6" s="13"/>
      <c r="P6" s="124" t="s">
        <v>28</v>
      </c>
      <c r="Q6" s="13"/>
      <c r="R6" s="14" t="s">
        <v>28</v>
      </c>
      <c r="S6" s="14" t="s">
        <v>28</v>
      </c>
      <c r="T6" s="14" t="s">
        <v>28</v>
      </c>
      <c r="U6" s="237"/>
    </row>
    <row r="7" spans="1:21" ht="19.899999999999999" customHeight="1" x14ac:dyDescent="0.2">
      <c r="A7" s="6"/>
      <c r="B7" s="212"/>
      <c r="C7" s="15" t="s">
        <v>29</v>
      </c>
      <c r="D7" s="16">
        <f t="shared" ref="D7" si="0">D6+1</f>
        <v>2</v>
      </c>
      <c r="E7" s="238"/>
      <c r="F7" s="17"/>
      <c r="G7" s="17"/>
      <c r="H7" s="17"/>
      <c r="I7" s="17"/>
      <c r="J7" s="17"/>
      <c r="K7" s="17"/>
      <c r="L7" s="17"/>
      <c r="M7" s="121" t="s">
        <v>17</v>
      </c>
      <c r="N7" s="256"/>
      <c r="O7" s="17"/>
      <c r="P7" s="121" t="s">
        <v>30</v>
      </c>
      <c r="Q7" s="17"/>
      <c r="R7" s="129" t="s">
        <v>31</v>
      </c>
      <c r="S7" s="132" t="s">
        <v>21</v>
      </c>
      <c r="T7" s="121" t="s">
        <v>17</v>
      </c>
      <c r="U7" s="237"/>
    </row>
    <row r="8" spans="1:21" ht="13.5" customHeight="1" x14ac:dyDescent="0.2">
      <c r="A8" s="6"/>
      <c r="B8" s="212"/>
      <c r="C8" s="18" t="s">
        <v>32</v>
      </c>
      <c r="D8" s="19">
        <v>3</v>
      </c>
      <c r="E8" s="20"/>
      <c r="F8" s="20"/>
      <c r="G8" s="20"/>
      <c r="H8" s="20"/>
      <c r="I8" s="20"/>
      <c r="J8" s="20"/>
      <c r="K8" s="20"/>
      <c r="L8" s="20"/>
      <c r="M8" s="21"/>
      <c r="N8" s="21"/>
      <c r="O8" s="21"/>
      <c r="P8" s="21"/>
      <c r="Q8" s="21"/>
      <c r="R8" s="20"/>
      <c r="S8" s="20"/>
      <c r="T8" s="21"/>
      <c r="U8" s="237"/>
    </row>
    <row r="9" spans="1:21" ht="13.5" customHeight="1" x14ac:dyDescent="0.2">
      <c r="A9" s="6"/>
      <c r="B9" s="213"/>
      <c r="C9" s="18" t="s">
        <v>33</v>
      </c>
      <c r="D9" s="19">
        <v>4</v>
      </c>
      <c r="E9" s="20"/>
      <c r="F9" s="20"/>
      <c r="G9" s="20"/>
      <c r="H9" s="20"/>
      <c r="I9" s="20"/>
      <c r="J9" s="20"/>
      <c r="K9" s="20"/>
      <c r="L9" s="20"/>
      <c r="M9" s="21"/>
      <c r="N9" s="21"/>
      <c r="O9" s="21"/>
      <c r="P9" s="21"/>
      <c r="Q9" s="21"/>
      <c r="R9" s="20"/>
      <c r="S9" s="20"/>
      <c r="T9" s="21"/>
      <c r="U9" s="238"/>
    </row>
    <row r="10" spans="1:21" ht="12" customHeight="1" x14ac:dyDescent="0.2">
      <c r="A10" s="6"/>
      <c r="B10" s="208" t="s">
        <v>34</v>
      </c>
      <c r="C10" s="209"/>
      <c r="D10" s="210"/>
      <c r="E10" s="214" t="s">
        <v>2</v>
      </c>
      <c r="F10" s="215"/>
      <c r="G10" s="216"/>
      <c r="H10" s="96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7</v>
      </c>
      <c r="O10" s="118" t="s">
        <v>8</v>
      </c>
      <c r="P10" s="118" t="s">
        <v>9</v>
      </c>
      <c r="Q10" s="77" t="s">
        <v>10</v>
      </c>
      <c r="R10" s="77" t="s">
        <v>11</v>
      </c>
      <c r="S10" s="111" t="s">
        <v>12</v>
      </c>
      <c r="T10" s="79" t="s">
        <v>13</v>
      </c>
      <c r="U10" s="7"/>
    </row>
    <row r="11" spans="1:21" ht="19.899999999999999" customHeight="1" x14ac:dyDescent="0.2">
      <c r="A11" s="6"/>
      <c r="B11" s="211">
        <f>B3+1</f>
        <v>2</v>
      </c>
      <c r="C11" s="8" t="s">
        <v>14</v>
      </c>
      <c r="D11" s="9">
        <v>5</v>
      </c>
      <c r="E11" s="10"/>
      <c r="F11" s="10"/>
      <c r="G11" s="10"/>
      <c r="H11" s="10"/>
      <c r="I11" s="10"/>
      <c r="J11" s="76" t="s">
        <v>16</v>
      </c>
      <c r="K11" s="10"/>
      <c r="L11" s="10"/>
      <c r="M11" s="10"/>
      <c r="N11" s="254" t="s">
        <v>18</v>
      </c>
      <c r="O11" s="224" t="s">
        <v>35</v>
      </c>
      <c r="P11" s="224" t="s">
        <v>35</v>
      </c>
      <c r="Q11" s="116"/>
      <c r="R11" s="141" t="s">
        <v>36</v>
      </c>
      <c r="S11" s="130" t="s">
        <v>37</v>
      </c>
      <c r="T11" s="10"/>
      <c r="U11" s="236" t="s">
        <v>38</v>
      </c>
    </row>
    <row r="12" spans="1:21" ht="19.899999999999999" customHeight="1" x14ac:dyDescent="0.2">
      <c r="A12" s="6"/>
      <c r="B12" s="212"/>
      <c r="C12" s="11" t="s">
        <v>23</v>
      </c>
      <c r="D12" s="12">
        <f t="shared" ref="D12:D15" si="1">D11+1</f>
        <v>6</v>
      </c>
      <c r="E12" s="13"/>
      <c r="F12" s="13"/>
      <c r="G12" s="13"/>
      <c r="H12" s="13"/>
      <c r="I12" s="13"/>
      <c r="J12" s="13"/>
      <c r="K12" s="13"/>
      <c r="L12" s="13"/>
      <c r="M12" s="13"/>
      <c r="N12" s="255"/>
      <c r="O12" s="225"/>
      <c r="P12" s="225"/>
      <c r="Q12" s="115"/>
      <c r="R12" s="131" t="s">
        <v>39</v>
      </c>
      <c r="S12" s="131" t="s">
        <v>40</v>
      </c>
      <c r="T12" s="137" t="s">
        <v>41</v>
      </c>
      <c r="U12" s="237"/>
    </row>
    <row r="13" spans="1:21" ht="19.899999999999999" customHeight="1" x14ac:dyDescent="0.2">
      <c r="A13" s="6"/>
      <c r="B13" s="212"/>
      <c r="C13" s="11" t="s">
        <v>25</v>
      </c>
      <c r="D13" s="12">
        <f t="shared" si="1"/>
        <v>7</v>
      </c>
      <c r="E13" s="13"/>
      <c r="F13" s="13"/>
      <c r="G13" s="128" t="s">
        <v>42</v>
      </c>
      <c r="H13" s="13"/>
      <c r="I13" s="13"/>
      <c r="J13" s="13"/>
      <c r="K13" s="13"/>
      <c r="L13" s="13"/>
      <c r="M13" s="13"/>
      <c r="N13" s="255"/>
      <c r="O13" s="110"/>
      <c r="P13" s="110"/>
      <c r="Q13" s="13"/>
      <c r="R13" s="131" t="s">
        <v>43</v>
      </c>
      <c r="S13" s="128" t="s">
        <v>44</v>
      </c>
      <c r="T13" s="137" t="s">
        <v>45</v>
      </c>
      <c r="U13" s="237"/>
    </row>
    <row r="14" spans="1:21" ht="19.899999999999999" customHeight="1" x14ac:dyDescent="0.2">
      <c r="A14" s="6"/>
      <c r="B14" s="212"/>
      <c r="C14" s="11" t="s">
        <v>27</v>
      </c>
      <c r="D14" s="12">
        <f t="shared" si="1"/>
        <v>8</v>
      </c>
      <c r="E14" s="13"/>
      <c r="F14" s="13"/>
      <c r="G14" s="13"/>
      <c r="H14" s="13"/>
      <c r="I14" s="13"/>
      <c r="J14" s="13"/>
      <c r="K14" s="13"/>
      <c r="L14" s="13"/>
      <c r="M14" s="140" t="s">
        <v>46</v>
      </c>
      <c r="N14" s="255"/>
      <c r="O14" s="13"/>
      <c r="P14" s="13"/>
      <c r="Q14" s="13"/>
      <c r="R14" s="129" t="s">
        <v>47</v>
      </c>
      <c r="S14" s="131" t="s">
        <v>48</v>
      </c>
      <c r="T14" s="129" t="s">
        <v>49</v>
      </c>
      <c r="U14" s="237"/>
    </row>
    <row r="15" spans="1:21" ht="19.899999999999999" customHeight="1" x14ac:dyDescent="0.2">
      <c r="A15" s="6"/>
      <c r="B15" s="212"/>
      <c r="C15" s="15" t="s">
        <v>29</v>
      </c>
      <c r="D15" s="16">
        <f t="shared" si="1"/>
        <v>9</v>
      </c>
      <c r="E15" s="17"/>
      <c r="F15" s="17"/>
      <c r="G15" s="17"/>
      <c r="H15" s="17"/>
      <c r="I15" s="17"/>
      <c r="J15" s="17"/>
      <c r="K15" s="17"/>
      <c r="L15" s="17"/>
      <c r="M15" s="17"/>
      <c r="N15" s="256"/>
      <c r="O15" s="17"/>
      <c r="P15" s="129" t="s">
        <v>50</v>
      </c>
      <c r="Q15" s="17"/>
      <c r="R15" s="131" t="s">
        <v>43</v>
      </c>
      <c r="S15" s="129" t="s">
        <v>51</v>
      </c>
      <c r="T15" s="129" t="s">
        <v>49</v>
      </c>
      <c r="U15" s="237"/>
    </row>
    <row r="16" spans="1:21" ht="13.5" customHeight="1" x14ac:dyDescent="0.2">
      <c r="A16" s="6"/>
      <c r="B16" s="212"/>
      <c r="C16" s="18" t="s">
        <v>32</v>
      </c>
      <c r="D16" s="9">
        <v>10</v>
      </c>
      <c r="E16" s="244" t="s">
        <v>52</v>
      </c>
      <c r="F16" s="20"/>
      <c r="G16" s="20"/>
      <c r="H16" s="20"/>
      <c r="I16" s="20"/>
      <c r="J16" s="20"/>
      <c r="K16" s="20"/>
      <c r="L16" s="20"/>
      <c r="M16" s="21"/>
      <c r="N16" s="21"/>
      <c r="O16" s="21"/>
      <c r="P16" s="21"/>
      <c r="Q16" s="21"/>
      <c r="R16" s="20"/>
      <c r="S16" s="20"/>
      <c r="T16" s="239" t="s">
        <v>53</v>
      </c>
      <c r="U16" s="237"/>
    </row>
    <row r="17" spans="1:21" ht="13.5" customHeight="1" x14ac:dyDescent="0.2">
      <c r="A17" s="6"/>
      <c r="B17" s="213"/>
      <c r="C17" s="18" t="s">
        <v>33</v>
      </c>
      <c r="D17" s="9">
        <v>11</v>
      </c>
      <c r="E17" s="246"/>
      <c r="F17" s="20"/>
      <c r="G17" s="20"/>
      <c r="H17" s="20"/>
      <c r="I17" s="20"/>
      <c r="J17" s="20"/>
      <c r="K17" s="20"/>
      <c r="L17" s="20"/>
      <c r="M17" s="21"/>
      <c r="N17" s="21"/>
      <c r="O17" s="21"/>
      <c r="P17" s="21"/>
      <c r="Q17" s="21"/>
      <c r="R17" s="20"/>
      <c r="S17" s="20"/>
      <c r="T17" s="240"/>
      <c r="U17" s="238"/>
    </row>
    <row r="18" spans="1:21" ht="12" customHeight="1" x14ac:dyDescent="0.2">
      <c r="A18" s="6"/>
      <c r="B18" s="208" t="s">
        <v>34</v>
      </c>
      <c r="C18" s="209"/>
      <c r="D18" s="210"/>
      <c r="E18" s="214" t="s">
        <v>2</v>
      </c>
      <c r="F18" s="215"/>
      <c r="G18" s="216"/>
      <c r="H18" s="96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7</v>
      </c>
      <c r="O18" s="77" t="s">
        <v>8</v>
      </c>
      <c r="P18" s="77" t="s">
        <v>9</v>
      </c>
      <c r="Q18" s="77" t="s">
        <v>10</v>
      </c>
      <c r="R18" s="77" t="s">
        <v>11</v>
      </c>
      <c r="S18" s="118" t="s">
        <v>12</v>
      </c>
      <c r="T18" s="79" t="s">
        <v>13</v>
      </c>
      <c r="U18" s="7"/>
    </row>
    <row r="19" spans="1:21" ht="32.25" customHeight="1" x14ac:dyDescent="0.2">
      <c r="A19" s="6"/>
      <c r="B19" s="211">
        <f>B11+1</f>
        <v>3</v>
      </c>
      <c r="C19" s="8" t="s">
        <v>14</v>
      </c>
      <c r="D19" s="9">
        <f>D17+1</f>
        <v>12</v>
      </c>
      <c r="E19" s="10"/>
      <c r="F19" s="244" t="s">
        <v>54</v>
      </c>
      <c r="G19" s="10"/>
      <c r="H19" s="10"/>
      <c r="I19" s="76" t="s">
        <v>48</v>
      </c>
      <c r="J19" s="76" t="s">
        <v>55</v>
      </c>
      <c r="K19" s="10"/>
      <c r="L19" s="120" t="s">
        <v>56</v>
      </c>
      <c r="M19" s="10"/>
      <c r="N19" s="254" t="s">
        <v>18</v>
      </c>
      <c r="O19" s="120" t="s">
        <v>56</v>
      </c>
      <c r="P19" s="120" t="s">
        <v>57</v>
      </c>
      <c r="Q19" s="114" t="s">
        <v>58</v>
      </c>
      <c r="R19" s="129" t="s">
        <v>31</v>
      </c>
      <c r="S19" s="133" t="s">
        <v>59</v>
      </c>
      <c r="T19" s="139" t="s">
        <v>53</v>
      </c>
      <c r="U19" s="236" t="s">
        <v>60</v>
      </c>
    </row>
    <row r="20" spans="1:21" ht="19.899999999999999" customHeight="1" x14ac:dyDescent="0.2">
      <c r="A20" s="6"/>
      <c r="B20" s="212"/>
      <c r="C20" s="11" t="s">
        <v>23</v>
      </c>
      <c r="D20" s="12">
        <f t="shared" ref="D20:D23" si="2">D19+1</f>
        <v>13</v>
      </c>
      <c r="E20" s="13"/>
      <c r="F20" s="245"/>
      <c r="G20" s="13"/>
      <c r="H20" s="13"/>
      <c r="I20" s="13"/>
      <c r="J20" s="13"/>
      <c r="K20" s="13"/>
      <c r="L20" s="120" t="s">
        <v>61</v>
      </c>
      <c r="M20" s="13"/>
      <c r="N20" s="255"/>
      <c r="O20" s="120" t="s">
        <v>61</v>
      </c>
      <c r="P20" s="113"/>
      <c r="Q20" s="113"/>
      <c r="R20" s="141" t="s">
        <v>62</v>
      </c>
      <c r="S20" s="113"/>
      <c r="T20" s="113"/>
      <c r="U20" s="237"/>
    </row>
    <row r="21" spans="1:21" ht="19.899999999999999" customHeight="1" x14ac:dyDescent="0.2">
      <c r="A21" s="6"/>
      <c r="B21" s="212"/>
      <c r="C21" s="11" t="s">
        <v>25</v>
      </c>
      <c r="D21" s="12">
        <f t="shared" si="2"/>
        <v>14</v>
      </c>
      <c r="E21" s="13"/>
      <c r="F21" s="245"/>
      <c r="G21" s="13"/>
      <c r="H21" s="13"/>
      <c r="I21" s="13"/>
      <c r="J21" s="13"/>
      <c r="K21" s="13"/>
      <c r="L21" s="120" t="s">
        <v>63</v>
      </c>
      <c r="M21" s="13"/>
      <c r="N21" s="255"/>
      <c r="O21" s="120" t="s">
        <v>63</v>
      </c>
      <c r="P21" s="113"/>
      <c r="Q21" s="113"/>
      <c r="R21" s="141" t="s">
        <v>64</v>
      </c>
      <c r="S21" s="113"/>
      <c r="T21" s="113" t="s">
        <v>65</v>
      </c>
      <c r="U21" s="237"/>
    </row>
    <row r="22" spans="1:21" ht="19.899999999999999" customHeight="1" x14ac:dyDescent="0.2">
      <c r="A22" s="6"/>
      <c r="B22" s="212"/>
      <c r="C22" s="11" t="s">
        <v>27</v>
      </c>
      <c r="D22" s="12">
        <f t="shared" si="2"/>
        <v>15</v>
      </c>
      <c r="E22" s="13"/>
      <c r="F22" s="245"/>
      <c r="G22" s="13"/>
      <c r="H22" s="13"/>
      <c r="I22" s="13"/>
      <c r="J22" s="13"/>
      <c r="K22" s="13"/>
      <c r="L22" s="13"/>
      <c r="M22" s="13"/>
      <c r="N22" s="255"/>
      <c r="O22" s="224" t="s">
        <v>66</v>
      </c>
      <c r="P22" s="224" t="s">
        <v>66</v>
      </c>
      <c r="Q22" s="113"/>
      <c r="R22" s="120" t="s">
        <v>67</v>
      </c>
      <c r="S22" s="134" t="s">
        <v>68</v>
      </c>
      <c r="T22" s="138" t="s">
        <v>69</v>
      </c>
      <c r="U22" s="237"/>
    </row>
    <row r="23" spans="1:21" ht="19.899999999999999" customHeight="1" x14ac:dyDescent="0.2">
      <c r="A23" s="6"/>
      <c r="B23" s="212"/>
      <c r="C23" s="15" t="s">
        <v>29</v>
      </c>
      <c r="D23" s="16">
        <f t="shared" si="2"/>
        <v>16</v>
      </c>
      <c r="E23" s="109"/>
      <c r="F23" s="246"/>
      <c r="G23" s="17"/>
      <c r="H23" s="17"/>
      <c r="I23" s="17"/>
      <c r="J23" s="17"/>
      <c r="K23" s="17"/>
      <c r="L23" s="17"/>
      <c r="M23" s="17"/>
      <c r="N23" s="256"/>
      <c r="O23" s="225"/>
      <c r="P23" s="225"/>
      <c r="Q23" s="17"/>
      <c r="R23" s="141" t="s">
        <v>70</v>
      </c>
      <c r="S23" s="143" t="s">
        <v>71</v>
      </c>
      <c r="T23" s="17"/>
      <c r="U23" s="237"/>
    </row>
    <row r="24" spans="1:21" ht="19.5" customHeight="1" x14ac:dyDescent="0.2">
      <c r="A24" s="6"/>
      <c r="B24" s="212"/>
      <c r="C24" s="18" t="s">
        <v>32</v>
      </c>
      <c r="D24" s="9">
        <v>17</v>
      </c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1"/>
      <c r="P24" s="21"/>
      <c r="Q24" s="21"/>
      <c r="R24" s="20"/>
      <c r="S24" s="20"/>
      <c r="T24" s="21"/>
      <c r="U24" s="237"/>
    </row>
    <row r="25" spans="1:21" ht="24.75" customHeight="1" x14ac:dyDescent="0.2">
      <c r="A25" s="6"/>
      <c r="B25" s="213"/>
      <c r="C25" s="18" t="s">
        <v>33</v>
      </c>
      <c r="D25" s="9">
        <v>18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1"/>
      <c r="P25" s="21"/>
      <c r="Q25" s="21"/>
      <c r="R25" s="142" t="s">
        <v>72</v>
      </c>
      <c r="S25" s="20"/>
      <c r="T25" s="21"/>
      <c r="U25" s="238"/>
    </row>
    <row r="26" spans="1:21" ht="12" customHeight="1" x14ac:dyDescent="0.2">
      <c r="A26" s="6"/>
      <c r="B26" s="208" t="s">
        <v>34</v>
      </c>
      <c r="C26" s="209"/>
      <c r="D26" s="210"/>
      <c r="E26" s="214" t="s">
        <v>2</v>
      </c>
      <c r="F26" s="243"/>
      <c r="G26" s="216"/>
      <c r="H26" s="96"/>
      <c r="I26" s="98" t="s">
        <v>3</v>
      </c>
      <c r="J26" s="98" t="s">
        <v>4</v>
      </c>
      <c r="K26" s="31"/>
      <c r="L26" s="77" t="s">
        <v>5</v>
      </c>
      <c r="M26" s="77" t="s">
        <v>6</v>
      </c>
      <c r="N26" s="77" t="s">
        <v>7</v>
      </c>
      <c r="O26" s="77" t="s">
        <v>8</v>
      </c>
      <c r="P26" s="77" t="s">
        <v>9</v>
      </c>
      <c r="Q26" s="77" t="s">
        <v>10</v>
      </c>
      <c r="R26" s="77" t="s">
        <v>11</v>
      </c>
      <c r="S26" s="78" t="s">
        <v>12</v>
      </c>
      <c r="T26" s="79" t="s">
        <v>13</v>
      </c>
      <c r="U26" s="7"/>
    </row>
    <row r="27" spans="1:21" ht="19.899999999999999" customHeight="1" x14ac:dyDescent="0.2">
      <c r="A27" s="6"/>
      <c r="B27" s="211">
        <f>B19+1</f>
        <v>4</v>
      </c>
      <c r="C27" s="8" t="s">
        <v>14</v>
      </c>
      <c r="D27" s="9">
        <v>19</v>
      </c>
      <c r="E27" s="10"/>
      <c r="F27" s="244" t="s">
        <v>73</v>
      </c>
      <c r="G27" s="10"/>
      <c r="H27" s="10"/>
      <c r="I27" s="108" t="s">
        <v>74</v>
      </c>
      <c r="J27" s="76" t="s">
        <v>55</v>
      </c>
      <c r="K27" s="10"/>
      <c r="L27" s="10"/>
      <c r="M27" s="120" t="s">
        <v>75</v>
      </c>
      <c r="N27" s="254" t="s">
        <v>18</v>
      </c>
      <c r="O27" s="120" t="s">
        <v>75</v>
      </c>
      <c r="P27" s="10"/>
      <c r="Q27" s="10"/>
      <c r="R27" s="134" t="s">
        <v>76</v>
      </c>
      <c r="S27" s="117" t="s">
        <v>30</v>
      </c>
      <c r="T27" s="142" t="s">
        <v>77</v>
      </c>
      <c r="U27" s="236" t="s">
        <v>78</v>
      </c>
    </row>
    <row r="28" spans="1:21" ht="19.899999999999999" customHeight="1" x14ac:dyDescent="0.2">
      <c r="A28" s="6"/>
      <c r="B28" s="212"/>
      <c r="C28" s="11" t="s">
        <v>23</v>
      </c>
      <c r="D28" s="12">
        <f t="shared" ref="D28:D33" si="3">D27+1</f>
        <v>20</v>
      </c>
      <c r="E28" s="13"/>
      <c r="F28" s="245"/>
      <c r="G28" s="13"/>
      <c r="H28" s="113"/>
      <c r="I28" s="76" t="s">
        <v>79</v>
      </c>
      <c r="J28" s="115"/>
      <c r="K28" s="13"/>
      <c r="L28" s="13"/>
      <c r="M28" s="120" t="s">
        <v>79</v>
      </c>
      <c r="N28" s="255"/>
      <c r="O28" s="120" t="s">
        <v>79</v>
      </c>
      <c r="P28" s="13"/>
      <c r="Q28" s="13"/>
      <c r="R28" s="136"/>
      <c r="S28" s="249" t="s">
        <v>48</v>
      </c>
      <c r="T28" s="251" t="s">
        <v>80</v>
      </c>
      <c r="U28" s="248"/>
    </row>
    <row r="29" spans="1:21" ht="19.899999999999999" customHeight="1" x14ac:dyDescent="0.2">
      <c r="A29" s="6"/>
      <c r="B29" s="212"/>
      <c r="C29" s="11" t="s">
        <v>25</v>
      </c>
      <c r="D29" s="12">
        <f t="shared" si="3"/>
        <v>21</v>
      </c>
      <c r="E29" s="13"/>
      <c r="F29" s="246"/>
      <c r="G29" s="13"/>
      <c r="H29" s="13"/>
      <c r="I29" s="110"/>
      <c r="J29" s="13"/>
      <c r="K29" s="13"/>
      <c r="L29" s="13"/>
      <c r="M29" s="13"/>
      <c r="N29" s="255"/>
      <c r="O29" s="113"/>
      <c r="P29" s="113"/>
      <c r="Q29" s="113"/>
      <c r="R29" s="230" t="s">
        <v>81</v>
      </c>
      <c r="S29" s="249"/>
      <c r="T29" s="252"/>
      <c r="U29" s="248"/>
    </row>
    <row r="30" spans="1:21" ht="19.899999999999999" customHeight="1" x14ac:dyDescent="0.2">
      <c r="A30" s="6"/>
      <c r="B30" s="212"/>
      <c r="C30" s="11" t="s">
        <v>27</v>
      </c>
      <c r="D30" s="12">
        <f t="shared" si="3"/>
        <v>22</v>
      </c>
      <c r="E30" s="13"/>
      <c r="F30" s="244" t="s">
        <v>82</v>
      </c>
      <c r="G30" s="13"/>
      <c r="H30" s="13"/>
      <c r="I30" s="13"/>
      <c r="J30" s="13"/>
      <c r="K30" s="13"/>
      <c r="L30" s="113"/>
      <c r="M30" s="140" t="s">
        <v>46</v>
      </c>
      <c r="N30" s="255"/>
      <c r="O30" s="113"/>
      <c r="P30" s="113"/>
      <c r="Q30" s="113"/>
      <c r="R30" s="241"/>
      <c r="S30" s="249"/>
      <c r="T30" s="241" t="s">
        <v>83</v>
      </c>
      <c r="U30" s="237"/>
    </row>
    <row r="31" spans="1:21" ht="19.899999999999999" customHeight="1" x14ac:dyDescent="0.2">
      <c r="A31" s="6"/>
      <c r="B31" s="212"/>
      <c r="C31" s="15" t="s">
        <v>29</v>
      </c>
      <c r="D31" s="16">
        <f t="shared" si="3"/>
        <v>23</v>
      </c>
      <c r="E31" s="17"/>
      <c r="F31" s="246"/>
      <c r="G31" s="17"/>
      <c r="H31" s="17"/>
      <c r="I31" s="17"/>
      <c r="J31" s="17"/>
      <c r="K31" s="17"/>
      <c r="L31" s="129" t="s">
        <v>84</v>
      </c>
      <c r="M31" s="121" t="s">
        <v>85</v>
      </c>
      <c r="N31" s="256"/>
      <c r="O31" s="129" t="s">
        <v>84</v>
      </c>
      <c r="P31" s="129" t="s">
        <v>84</v>
      </c>
      <c r="Q31" s="119"/>
      <c r="R31" s="242"/>
      <c r="S31" s="117" t="s">
        <v>30</v>
      </c>
      <c r="T31" s="253"/>
      <c r="U31" s="237"/>
    </row>
    <row r="32" spans="1:21" ht="20.45" customHeight="1" x14ac:dyDescent="0.2">
      <c r="A32" s="6"/>
      <c r="B32" s="212"/>
      <c r="C32" s="18" t="s">
        <v>32</v>
      </c>
      <c r="D32" s="16">
        <f t="shared" si="3"/>
        <v>24</v>
      </c>
      <c r="E32" s="20"/>
      <c r="F32" s="20"/>
      <c r="G32" s="20"/>
      <c r="H32" s="20"/>
      <c r="I32" s="20"/>
      <c r="J32" s="20"/>
      <c r="K32" s="20"/>
      <c r="L32" s="20"/>
      <c r="M32" s="21"/>
      <c r="N32" s="21"/>
      <c r="O32" s="21"/>
      <c r="P32" s="21"/>
      <c r="Q32" s="21"/>
      <c r="R32" s="21"/>
      <c r="S32" s="144"/>
      <c r="T32" s="146"/>
      <c r="U32" s="248"/>
    </row>
    <row r="33" spans="1:21" ht="20.45" customHeight="1" x14ac:dyDescent="0.2">
      <c r="A33" s="6"/>
      <c r="B33" s="213"/>
      <c r="C33" s="18" t="s">
        <v>33</v>
      </c>
      <c r="D33" s="16">
        <f t="shared" si="3"/>
        <v>25</v>
      </c>
      <c r="E33" s="20"/>
      <c r="F33" s="20"/>
      <c r="G33" s="20"/>
      <c r="H33" s="20"/>
      <c r="I33" s="20"/>
      <c r="J33" s="20"/>
      <c r="K33" s="20"/>
      <c r="L33" s="20"/>
      <c r="M33" s="21"/>
      <c r="N33" s="21"/>
      <c r="O33" s="21"/>
      <c r="P33" s="21"/>
      <c r="Q33" s="21"/>
      <c r="R33" s="21"/>
      <c r="S33" s="144"/>
      <c r="T33" s="146"/>
      <c r="U33" s="250"/>
    </row>
    <row r="34" spans="1:21" ht="12" customHeight="1" x14ac:dyDescent="0.2">
      <c r="A34" s="6"/>
      <c r="B34" s="208" t="s">
        <v>34</v>
      </c>
      <c r="C34" s="209"/>
      <c r="D34" s="210"/>
      <c r="E34" s="214" t="s">
        <v>2</v>
      </c>
      <c r="F34" s="215"/>
      <c r="G34" s="216"/>
      <c r="H34" s="96"/>
      <c r="I34" s="98" t="s">
        <v>3</v>
      </c>
      <c r="J34" s="98" t="s">
        <v>4</v>
      </c>
      <c r="K34" s="31"/>
      <c r="L34" s="77" t="s">
        <v>5</v>
      </c>
      <c r="M34" s="77" t="s">
        <v>6</v>
      </c>
      <c r="N34" s="77" t="s">
        <v>7</v>
      </c>
      <c r="O34" s="118" t="s">
        <v>8</v>
      </c>
      <c r="P34" s="118" t="s">
        <v>9</v>
      </c>
      <c r="Q34" s="77" t="s">
        <v>10</v>
      </c>
      <c r="R34" s="112" t="s">
        <v>11</v>
      </c>
      <c r="S34" s="78" t="s">
        <v>12</v>
      </c>
      <c r="T34" s="145" t="s">
        <v>13</v>
      </c>
      <c r="U34" s="7"/>
    </row>
    <row r="35" spans="1:21" ht="19.899999999999999" customHeight="1" x14ac:dyDescent="0.2">
      <c r="A35" s="6"/>
      <c r="B35" s="211">
        <f>B27+1</f>
        <v>5</v>
      </c>
      <c r="C35" s="8" t="s">
        <v>14</v>
      </c>
      <c r="D35" s="9">
        <v>26</v>
      </c>
      <c r="E35" s="244" t="s">
        <v>86</v>
      </c>
      <c r="F35" s="10"/>
      <c r="G35" s="10"/>
      <c r="H35" s="10"/>
      <c r="I35" s="10"/>
      <c r="J35" s="76" t="s">
        <v>87</v>
      </c>
      <c r="K35" s="10"/>
      <c r="L35" s="10"/>
      <c r="M35" s="121" t="s">
        <v>85</v>
      </c>
      <c r="N35" s="254" t="s">
        <v>18</v>
      </c>
      <c r="O35" s="10"/>
      <c r="P35" s="10"/>
      <c r="Q35" s="10"/>
      <c r="R35" s="141" t="s">
        <v>88</v>
      </c>
      <c r="S35" s="130" t="s">
        <v>89</v>
      </c>
      <c r="T35" s="141" t="s">
        <v>88</v>
      </c>
      <c r="U35" s="236" t="s">
        <v>11</v>
      </c>
    </row>
    <row r="36" spans="1:21" ht="19.899999999999999" customHeight="1" x14ac:dyDescent="0.2">
      <c r="A36" s="6"/>
      <c r="B36" s="212"/>
      <c r="C36" s="11" t="s">
        <v>23</v>
      </c>
      <c r="D36" s="12">
        <f t="shared" ref="D36:D39" si="4">D35+1</f>
        <v>27</v>
      </c>
      <c r="E36" s="237"/>
      <c r="F36" s="13"/>
      <c r="G36" s="13"/>
      <c r="H36" s="13"/>
      <c r="I36" s="76" t="s">
        <v>90</v>
      </c>
      <c r="J36" s="76" t="s">
        <v>91</v>
      </c>
      <c r="K36" s="13"/>
      <c r="L36" s="13"/>
      <c r="M36" s="13"/>
      <c r="N36" s="255"/>
      <c r="O36" s="113"/>
      <c r="P36" s="224" t="s">
        <v>92</v>
      </c>
      <c r="Q36" s="115"/>
      <c r="R36" s="134" t="s">
        <v>93</v>
      </c>
      <c r="S36" s="138" t="s">
        <v>94</v>
      </c>
      <c r="T36" s="128" t="s">
        <v>95</v>
      </c>
      <c r="U36" s="248"/>
    </row>
    <row r="37" spans="1:21" ht="19.899999999999999" customHeight="1" x14ac:dyDescent="0.2">
      <c r="A37" s="6"/>
      <c r="B37" s="212"/>
      <c r="C37" s="11" t="s">
        <v>25</v>
      </c>
      <c r="D37" s="12">
        <f t="shared" si="4"/>
        <v>28</v>
      </c>
      <c r="E37" s="237"/>
      <c r="F37" s="13"/>
      <c r="G37" s="13"/>
      <c r="H37" s="13"/>
      <c r="I37" s="13"/>
      <c r="J37" s="13"/>
      <c r="K37" s="13"/>
      <c r="L37" s="13"/>
      <c r="M37" s="13"/>
      <c r="N37" s="255"/>
      <c r="O37" s="13"/>
      <c r="P37" s="225"/>
      <c r="Q37" s="13"/>
      <c r="R37" s="120" t="s">
        <v>96</v>
      </c>
      <c r="S37" s="138" t="s">
        <v>94</v>
      </c>
      <c r="T37" s="148" t="s">
        <v>97</v>
      </c>
      <c r="U37" s="237"/>
    </row>
    <row r="38" spans="1:21" ht="19.899999999999999" customHeight="1" x14ac:dyDescent="0.2">
      <c r="A38" s="6"/>
      <c r="B38" s="212"/>
      <c r="C38" s="11" t="s">
        <v>27</v>
      </c>
      <c r="D38" s="12">
        <f t="shared" si="4"/>
        <v>29</v>
      </c>
      <c r="E38" s="237"/>
      <c r="F38" s="13"/>
      <c r="G38" s="13"/>
      <c r="H38" s="13"/>
      <c r="I38" s="13"/>
      <c r="J38" s="13"/>
      <c r="K38" s="13"/>
      <c r="L38" s="13"/>
      <c r="M38" s="13"/>
      <c r="N38" s="255"/>
      <c r="O38" s="13"/>
      <c r="P38" s="13"/>
      <c r="Q38" s="13"/>
      <c r="R38" s="134" t="s">
        <v>98</v>
      </c>
      <c r="S38" s="134" t="s">
        <v>99</v>
      </c>
      <c r="T38" s="149" t="s">
        <v>100</v>
      </c>
      <c r="U38" s="237"/>
    </row>
    <row r="39" spans="1:21" ht="32.25" customHeight="1" x14ac:dyDescent="0.2">
      <c r="A39" s="6"/>
      <c r="B39" s="212"/>
      <c r="C39" s="15" t="s">
        <v>29</v>
      </c>
      <c r="D39" s="16">
        <f t="shared" si="4"/>
        <v>30</v>
      </c>
      <c r="E39" s="238"/>
      <c r="F39" s="17"/>
      <c r="G39" s="17"/>
      <c r="H39" s="17"/>
      <c r="I39" s="17"/>
      <c r="J39" s="17"/>
      <c r="K39" s="17"/>
      <c r="L39" s="129" t="s">
        <v>84</v>
      </c>
      <c r="M39" s="129" t="s">
        <v>84</v>
      </c>
      <c r="N39" s="256"/>
      <c r="O39" s="129" t="s">
        <v>84</v>
      </c>
      <c r="P39" s="129" t="s">
        <v>84</v>
      </c>
      <c r="Q39" s="17"/>
      <c r="R39" s="141" t="s">
        <v>101</v>
      </c>
      <c r="S39" s="17"/>
      <c r="T39" s="17" t="s">
        <v>102</v>
      </c>
      <c r="U39" s="237"/>
    </row>
    <row r="40" spans="1:21" ht="13.5" customHeight="1" x14ac:dyDescent="0.2">
      <c r="A40" s="6"/>
      <c r="B40" s="212"/>
      <c r="C40" s="18" t="s">
        <v>32</v>
      </c>
      <c r="D40" s="19">
        <v>31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37"/>
    </row>
    <row r="41" spans="1:21" ht="13.5" customHeight="1" x14ac:dyDescent="0.2">
      <c r="A41" s="6"/>
      <c r="B41" s="213"/>
      <c r="C41" s="18" t="s">
        <v>33</v>
      </c>
      <c r="D41" s="19">
        <v>1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38"/>
    </row>
  </sheetData>
  <autoFilter ref="L2:U41" xr:uid="{00000000-0001-0000-0000-000000000000}"/>
  <mergeCells count="42">
    <mergeCell ref="N3:N7"/>
    <mergeCell ref="N11:N15"/>
    <mergeCell ref="N19:N23"/>
    <mergeCell ref="N27:N31"/>
    <mergeCell ref="N35:N39"/>
    <mergeCell ref="P22:P23"/>
    <mergeCell ref="O22:O23"/>
    <mergeCell ref="P11:P12"/>
    <mergeCell ref="O11:O12"/>
    <mergeCell ref="U27:U33"/>
    <mergeCell ref="R29:R31"/>
    <mergeCell ref="T28:T29"/>
    <mergeCell ref="T30:T31"/>
    <mergeCell ref="U35:U41"/>
    <mergeCell ref="B35:B41"/>
    <mergeCell ref="E35:E39"/>
    <mergeCell ref="S28:S30"/>
    <mergeCell ref="P36:P37"/>
    <mergeCell ref="F27:F29"/>
    <mergeCell ref="F30:F31"/>
    <mergeCell ref="B2:D2"/>
    <mergeCell ref="B3:B9"/>
    <mergeCell ref="B10:D10"/>
    <mergeCell ref="B11:B17"/>
    <mergeCell ref="E2:G2"/>
    <mergeCell ref="E10:G10"/>
    <mergeCell ref="E3:E7"/>
    <mergeCell ref="E16:E17"/>
    <mergeCell ref="E26:G26"/>
    <mergeCell ref="E34:G34"/>
    <mergeCell ref="E18:G18"/>
    <mergeCell ref="B18:D18"/>
    <mergeCell ref="B19:B25"/>
    <mergeCell ref="B26:D26"/>
    <mergeCell ref="F19:F23"/>
    <mergeCell ref="B27:B33"/>
    <mergeCell ref="B34:D34"/>
    <mergeCell ref="U3:U9"/>
    <mergeCell ref="U11:U17"/>
    <mergeCell ref="U19:U25"/>
    <mergeCell ref="T16:T17"/>
    <mergeCell ref="S3:S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showGridLines="0" workbookViewId="0">
      <pane xSplit="4" topLeftCell="E1" activePane="topRight" state="frozen"/>
      <selection activeCell="B2" sqref="B2:D2"/>
      <selection pane="topRight" activeCell="B2" sqref="B2:D2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0.40234375" customWidth="1"/>
    <col min="12" max="20" width="15.73828125" customWidth="1"/>
    <col min="21" max="21" width="2.95703125" customWidth="1"/>
  </cols>
  <sheetData>
    <row r="1" spans="1:21" ht="9.75" customHeight="1" x14ac:dyDescent="0.2">
      <c r="A1" s="1" t="s">
        <v>0</v>
      </c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1"/>
      <c r="O1" s="1"/>
      <c r="P1" s="4"/>
      <c r="Q1" s="4"/>
      <c r="R1" s="4"/>
      <c r="S1" s="4"/>
      <c r="T1" s="4"/>
      <c r="U1" s="5"/>
    </row>
    <row r="2" spans="1:21" ht="12" customHeight="1" x14ac:dyDescent="0.2">
      <c r="A2" s="6"/>
      <c r="B2" s="208" t="s">
        <v>103</v>
      </c>
      <c r="C2" s="209"/>
      <c r="D2" s="210"/>
      <c r="E2" s="214" t="s">
        <v>2</v>
      </c>
      <c r="F2" s="215"/>
      <c r="G2" s="216"/>
      <c r="H2" s="96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7</v>
      </c>
      <c r="O2" s="77" t="s">
        <v>8</v>
      </c>
      <c r="P2" s="77" t="s">
        <v>9</v>
      </c>
      <c r="Q2" s="77" t="s">
        <v>10</v>
      </c>
      <c r="R2" s="77" t="s">
        <v>11</v>
      </c>
      <c r="S2" s="78" t="s">
        <v>12</v>
      </c>
      <c r="T2" s="78" t="s">
        <v>13</v>
      </c>
      <c r="U2" s="7"/>
    </row>
    <row r="3" spans="1:21" ht="19.899999999999999" customHeight="1" x14ac:dyDescent="0.2">
      <c r="A3" s="6"/>
      <c r="B3" s="211">
        <v>6</v>
      </c>
      <c r="C3" s="8" t="s">
        <v>14</v>
      </c>
      <c r="D3" s="9">
        <v>2</v>
      </c>
      <c r="E3" s="244" t="s">
        <v>104</v>
      </c>
      <c r="F3" s="10"/>
      <c r="G3" s="10"/>
      <c r="H3" s="10"/>
      <c r="I3" s="76" t="s">
        <v>105</v>
      </c>
      <c r="J3" s="76" t="s">
        <v>87</v>
      </c>
      <c r="K3" s="10"/>
      <c r="L3" s="10"/>
      <c r="M3" s="10"/>
      <c r="N3" s="254" t="s">
        <v>18</v>
      </c>
      <c r="O3" s="10"/>
      <c r="P3" s="224" t="s">
        <v>106</v>
      </c>
      <c r="Q3" s="10"/>
      <c r="R3" s="150" t="s">
        <v>31</v>
      </c>
      <c r="S3" s="262" t="s">
        <v>30</v>
      </c>
      <c r="T3" s="10"/>
      <c r="U3" s="260" t="s">
        <v>60</v>
      </c>
    </row>
    <row r="4" spans="1:21" ht="17.25" customHeight="1" x14ac:dyDescent="0.2">
      <c r="A4" s="6"/>
      <c r="B4" s="212"/>
      <c r="C4" s="11" t="s">
        <v>23</v>
      </c>
      <c r="D4" s="12">
        <f t="shared" ref="D4:D7" si="0">D3+1</f>
        <v>3</v>
      </c>
      <c r="E4" s="245"/>
      <c r="F4" s="13"/>
      <c r="G4" s="13"/>
      <c r="H4" s="13"/>
      <c r="I4" s="13"/>
      <c r="J4" s="13"/>
      <c r="K4" s="13"/>
      <c r="L4" s="13"/>
      <c r="M4" s="13"/>
      <c r="N4" s="255"/>
      <c r="O4" s="110"/>
      <c r="P4" s="242"/>
      <c r="Q4" s="110"/>
      <c r="R4" s="158" t="s">
        <v>107</v>
      </c>
      <c r="S4" s="263"/>
      <c r="T4" s="155" t="s">
        <v>108</v>
      </c>
      <c r="U4" s="261"/>
    </row>
    <row r="5" spans="1:21" ht="19.899999999999999" customHeight="1" x14ac:dyDescent="0.2">
      <c r="A5" s="6"/>
      <c r="B5" s="212"/>
      <c r="C5" s="11" t="s">
        <v>25</v>
      </c>
      <c r="D5" s="12">
        <f t="shared" si="0"/>
        <v>4</v>
      </c>
      <c r="E5" s="245"/>
      <c r="F5" s="13"/>
      <c r="G5" s="13"/>
      <c r="H5" s="13"/>
      <c r="I5" s="13"/>
      <c r="J5" s="13"/>
      <c r="K5" s="13"/>
      <c r="L5" s="13"/>
      <c r="M5" s="167"/>
      <c r="N5" s="255"/>
      <c r="O5" s="13"/>
      <c r="P5" s="13"/>
      <c r="Q5" s="13"/>
      <c r="R5" s="224" t="s">
        <v>90</v>
      </c>
      <c r="S5" s="263"/>
      <c r="T5" s="128" t="s">
        <v>109</v>
      </c>
      <c r="U5" s="261"/>
    </row>
    <row r="6" spans="1:21" ht="19.899999999999999" customHeight="1" x14ac:dyDescent="0.2">
      <c r="A6" s="6"/>
      <c r="B6" s="212"/>
      <c r="C6" s="11" t="s">
        <v>27</v>
      </c>
      <c r="D6" s="12">
        <f t="shared" si="0"/>
        <v>5</v>
      </c>
      <c r="E6" s="245"/>
      <c r="F6" s="13"/>
      <c r="G6" s="13"/>
      <c r="H6" s="13"/>
      <c r="I6" s="13"/>
      <c r="J6" s="13"/>
      <c r="K6" s="13"/>
      <c r="L6" s="136"/>
      <c r="M6" s="140" t="s">
        <v>46</v>
      </c>
      <c r="N6" s="266"/>
      <c r="O6" s="13"/>
      <c r="P6" s="131" t="s">
        <v>110</v>
      </c>
      <c r="Q6" s="13"/>
      <c r="R6" s="241"/>
      <c r="S6" s="264"/>
      <c r="T6" s="120" t="s">
        <v>111</v>
      </c>
      <c r="U6" s="234"/>
    </row>
    <row r="7" spans="1:21" ht="19.899999999999999" customHeight="1" x14ac:dyDescent="0.2">
      <c r="A7" s="6"/>
      <c r="B7" s="212"/>
      <c r="C7" s="15" t="s">
        <v>29</v>
      </c>
      <c r="D7" s="16">
        <f t="shared" si="0"/>
        <v>6</v>
      </c>
      <c r="E7" s="246"/>
      <c r="F7" s="17" t="s">
        <v>0</v>
      </c>
      <c r="G7" s="17"/>
      <c r="H7" s="17"/>
      <c r="I7" s="17"/>
      <c r="J7" s="17"/>
      <c r="K7" s="119"/>
      <c r="L7" s="157" t="s">
        <v>84</v>
      </c>
      <c r="M7" s="168" t="s">
        <v>84</v>
      </c>
      <c r="N7" s="256"/>
      <c r="O7" s="129" t="s">
        <v>84</v>
      </c>
      <c r="P7" s="129" t="s">
        <v>84</v>
      </c>
      <c r="Q7" s="17"/>
      <c r="R7" s="225"/>
      <c r="S7" s="265"/>
      <c r="T7" s="17"/>
      <c r="U7" s="234"/>
    </row>
    <row r="8" spans="1:21" ht="13.5" customHeight="1" x14ac:dyDescent="0.2">
      <c r="A8" s="6"/>
      <c r="B8" s="212"/>
      <c r="C8" s="18" t="s">
        <v>32</v>
      </c>
      <c r="D8" s="9">
        <v>7</v>
      </c>
      <c r="E8" s="20"/>
      <c r="F8" s="20"/>
      <c r="G8" s="20"/>
      <c r="H8" s="20"/>
      <c r="I8" s="20"/>
      <c r="J8" s="20"/>
      <c r="K8" s="20"/>
      <c r="L8" s="21"/>
      <c r="M8" s="21"/>
      <c r="N8" s="21"/>
      <c r="O8" s="21"/>
      <c r="P8" s="21"/>
      <c r="Q8" s="20"/>
      <c r="R8" s="20"/>
      <c r="S8" s="20"/>
      <c r="T8" s="21"/>
      <c r="U8" s="234"/>
    </row>
    <row r="9" spans="1:21" ht="13.5" customHeight="1" x14ac:dyDescent="0.2">
      <c r="A9" s="6"/>
      <c r="B9" s="213"/>
      <c r="C9" s="18" t="s">
        <v>32</v>
      </c>
      <c r="D9" s="9">
        <v>8</v>
      </c>
      <c r="E9" s="20"/>
      <c r="F9" s="20"/>
      <c r="G9" s="20"/>
      <c r="H9" s="20"/>
      <c r="I9" s="20"/>
      <c r="J9" s="20"/>
      <c r="K9" s="20"/>
      <c r="L9" s="20"/>
      <c r="M9" s="21"/>
      <c r="N9" s="21"/>
      <c r="O9" s="21"/>
      <c r="P9" s="21"/>
      <c r="Q9" s="20"/>
      <c r="R9" s="20"/>
      <c r="S9" s="20"/>
      <c r="T9" s="21"/>
      <c r="U9" s="235"/>
    </row>
    <row r="10" spans="1:21" ht="12" customHeight="1" x14ac:dyDescent="0.2">
      <c r="A10" s="6"/>
      <c r="B10" s="208" t="s">
        <v>103</v>
      </c>
      <c r="C10" s="209"/>
      <c r="D10" s="210"/>
      <c r="E10" s="214" t="s">
        <v>2</v>
      </c>
      <c r="F10" s="215"/>
      <c r="G10" s="216"/>
      <c r="H10" s="96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7</v>
      </c>
      <c r="O10" s="77" t="s">
        <v>8</v>
      </c>
      <c r="P10" s="77" t="s">
        <v>9</v>
      </c>
      <c r="Q10" s="77" t="s">
        <v>10</v>
      </c>
      <c r="R10" s="77" t="s">
        <v>11</v>
      </c>
      <c r="S10" s="111" t="s">
        <v>12</v>
      </c>
      <c r="T10" s="78" t="s">
        <v>13</v>
      </c>
      <c r="U10" s="7"/>
    </row>
    <row r="11" spans="1:21" ht="19.899999999999999" customHeight="1" x14ac:dyDescent="0.2">
      <c r="A11" s="6"/>
      <c r="B11" s="211">
        <f>B3+1</f>
        <v>7</v>
      </c>
      <c r="C11" s="8" t="s">
        <v>14</v>
      </c>
      <c r="D11" s="9">
        <v>9</v>
      </c>
      <c r="E11" s="257" t="s">
        <v>112</v>
      </c>
      <c r="F11" s="244" t="s">
        <v>113</v>
      </c>
      <c r="G11" s="10"/>
      <c r="H11" s="10"/>
      <c r="I11" s="10"/>
      <c r="J11" s="10"/>
      <c r="K11" s="10"/>
      <c r="L11" s="10"/>
      <c r="M11" s="10"/>
      <c r="N11" s="254" t="s">
        <v>18</v>
      </c>
      <c r="O11" s="10"/>
      <c r="P11" s="10"/>
      <c r="Q11" s="10"/>
      <c r="R11" s="150" t="s">
        <v>31</v>
      </c>
      <c r="S11" s="114"/>
      <c r="T11" s="258" t="s">
        <v>114</v>
      </c>
      <c r="U11" s="260"/>
    </row>
    <row r="12" spans="1:21" ht="19.899999999999999" customHeight="1" x14ac:dyDescent="0.2">
      <c r="A12" s="6"/>
      <c r="B12" s="212"/>
      <c r="C12" s="11" t="s">
        <v>23</v>
      </c>
      <c r="D12" s="12">
        <f t="shared" ref="D12:D15" si="1">D11+1</f>
        <v>10</v>
      </c>
      <c r="E12" s="212"/>
      <c r="F12" s="245"/>
      <c r="G12" s="13"/>
      <c r="H12" s="13"/>
      <c r="I12" s="13"/>
      <c r="J12" s="13"/>
      <c r="K12" s="13"/>
      <c r="L12" s="13"/>
      <c r="M12" s="13"/>
      <c r="N12" s="255"/>
      <c r="O12" s="230" t="s">
        <v>115</v>
      </c>
      <c r="P12" s="13"/>
      <c r="Q12" s="13"/>
      <c r="R12" s="158" t="s">
        <v>116</v>
      </c>
      <c r="S12" s="224" t="s">
        <v>117</v>
      </c>
      <c r="T12" s="259"/>
      <c r="U12" s="261"/>
    </row>
    <row r="13" spans="1:21" ht="19.899999999999999" customHeight="1" x14ac:dyDescent="0.2">
      <c r="A13" s="6"/>
      <c r="B13" s="212"/>
      <c r="C13" s="11" t="s">
        <v>25</v>
      </c>
      <c r="D13" s="12">
        <f t="shared" si="1"/>
        <v>11</v>
      </c>
      <c r="E13" s="212"/>
      <c r="F13" s="245"/>
      <c r="G13" s="13"/>
      <c r="H13" s="13"/>
      <c r="I13" s="13"/>
      <c r="J13" s="13"/>
      <c r="K13" s="13"/>
      <c r="L13" s="13"/>
      <c r="M13" s="13"/>
      <c r="N13" s="255"/>
      <c r="O13" s="241"/>
      <c r="P13" s="13"/>
      <c r="Q13" s="13"/>
      <c r="R13" s="159" t="s">
        <v>118</v>
      </c>
      <c r="S13" s="225"/>
      <c r="T13" s="224" t="s">
        <v>119</v>
      </c>
      <c r="U13" s="261"/>
    </row>
    <row r="14" spans="1:21" ht="19.899999999999999" customHeight="1" x14ac:dyDescent="0.2">
      <c r="A14" s="6"/>
      <c r="B14" s="212"/>
      <c r="C14" s="11" t="s">
        <v>27</v>
      </c>
      <c r="D14" s="12">
        <f t="shared" si="1"/>
        <v>12</v>
      </c>
      <c r="E14" s="212"/>
      <c r="F14" s="245"/>
      <c r="G14" s="13"/>
      <c r="H14" s="13"/>
      <c r="I14" s="13"/>
      <c r="J14" s="13"/>
      <c r="K14" s="13"/>
      <c r="L14" s="13"/>
      <c r="M14" s="13"/>
      <c r="N14" s="255"/>
      <c r="O14" s="225"/>
      <c r="Q14" s="13"/>
      <c r="R14" s="267" t="s">
        <v>120</v>
      </c>
      <c r="S14" s="157" t="s">
        <v>121</v>
      </c>
      <c r="T14" s="225"/>
      <c r="U14" s="261"/>
    </row>
    <row r="15" spans="1:21" ht="19.899999999999999" customHeight="1" x14ac:dyDescent="0.2">
      <c r="A15" s="6"/>
      <c r="B15" s="212"/>
      <c r="C15" s="15" t="s">
        <v>29</v>
      </c>
      <c r="D15" s="16">
        <f t="shared" si="1"/>
        <v>13</v>
      </c>
      <c r="E15" s="213"/>
      <c r="F15" s="245"/>
      <c r="G15" s="17"/>
      <c r="H15" s="17"/>
      <c r="I15" s="17"/>
      <c r="J15" s="76" t="s">
        <v>122</v>
      </c>
      <c r="K15" s="17"/>
      <c r="L15" s="17"/>
      <c r="M15" s="17"/>
      <c r="N15" s="256"/>
      <c r="O15" s="17"/>
      <c r="P15" s="17"/>
      <c r="Q15" s="17"/>
      <c r="R15" s="268"/>
      <c r="S15" s="157" t="s">
        <v>121</v>
      </c>
      <c r="T15" s="109"/>
      <c r="U15" s="234"/>
    </row>
    <row r="16" spans="1:21" ht="13.5" customHeight="1" x14ac:dyDescent="0.2">
      <c r="A16" s="6"/>
      <c r="B16" s="212"/>
      <c r="C16" s="18" t="s">
        <v>32</v>
      </c>
      <c r="D16" s="9">
        <v>14</v>
      </c>
      <c r="E16" s="20"/>
      <c r="F16" s="20"/>
      <c r="G16" s="20"/>
      <c r="H16" s="20"/>
      <c r="I16" s="20"/>
      <c r="J16" s="20"/>
      <c r="K16" s="20"/>
      <c r="L16" s="20"/>
      <c r="M16" s="21"/>
      <c r="N16" s="21"/>
      <c r="O16" s="21"/>
      <c r="P16" s="21"/>
      <c r="Q16" s="20"/>
      <c r="R16" s="268"/>
      <c r="S16" s="20"/>
      <c r="T16" s="20" t="s">
        <v>0</v>
      </c>
      <c r="U16" s="234"/>
    </row>
    <row r="17" spans="1:21" ht="13.5" customHeight="1" x14ac:dyDescent="0.2">
      <c r="A17" s="6"/>
      <c r="B17" s="213"/>
      <c r="C17" s="18" t="s">
        <v>33</v>
      </c>
      <c r="D17" s="9">
        <v>15</v>
      </c>
      <c r="E17" s="20"/>
      <c r="F17" s="20"/>
      <c r="G17" s="20"/>
      <c r="H17" s="20"/>
      <c r="I17" s="20"/>
      <c r="J17" s="20"/>
      <c r="K17" s="20"/>
      <c r="L17" s="20"/>
      <c r="M17" s="21"/>
      <c r="N17" s="21"/>
      <c r="O17" s="21"/>
      <c r="P17" s="21"/>
      <c r="Q17" s="20"/>
      <c r="R17" s="269"/>
      <c r="S17" s="20"/>
      <c r="T17" s="20"/>
      <c r="U17" s="235"/>
    </row>
    <row r="18" spans="1:21" ht="12" customHeight="1" x14ac:dyDescent="0.2">
      <c r="A18" s="6"/>
      <c r="B18" s="208" t="s">
        <v>103</v>
      </c>
      <c r="C18" s="209"/>
      <c r="D18" s="210"/>
      <c r="E18" s="214" t="s">
        <v>2</v>
      </c>
      <c r="F18" s="215"/>
      <c r="G18" s="216"/>
      <c r="H18" s="96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7</v>
      </c>
      <c r="O18" s="77" t="s">
        <v>8</v>
      </c>
      <c r="P18" s="77" t="s">
        <v>9</v>
      </c>
      <c r="Q18" s="77" t="s">
        <v>123</v>
      </c>
      <c r="R18" s="77" t="s">
        <v>11</v>
      </c>
      <c r="S18" s="78" t="s">
        <v>12</v>
      </c>
      <c r="T18" s="78" t="s">
        <v>13</v>
      </c>
      <c r="U18" s="7"/>
    </row>
    <row r="19" spans="1:21" ht="19.899999999999999" customHeight="1" x14ac:dyDescent="0.2">
      <c r="A19" s="6"/>
      <c r="B19" s="211">
        <f>B11+1</f>
        <v>8</v>
      </c>
      <c r="C19" s="8" t="s">
        <v>14</v>
      </c>
      <c r="D19" s="9">
        <v>16</v>
      </c>
      <c r="E19" s="257" t="s">
        <v>124</v>
      </c>
      <c r="F19" s="244" t="s">
        <v>125</v>
      </c>
      <c r="G19" s="10"/>
      <c r="H19" s="10"/>
      <c r="I19" s="10"/>
      <c r="J19" s="10"/>
      <c r="K19" s="10"/>
      <c r="L19" s="10"/>
      <c r="M19" s="10"/>
      <c r="N19" s="254" t="s">
        <v>18</v>
      </c>
      <c r="O19" s="254" t="s">
        <v>18</v>
      </c>
      <c r="P19" s="10"/>
      <c r="Q19" s="10"/>
      <c r="R19" s="267" t="s">
        <v>126</v>
      </c>
      <c r="S19" s="270" t="s">
        <v>127</v>
      </c>
      <c r="T19" s="158" t="s">
        <v>128</v>
      </c>
      <c r="U19" s="260" t="s">
        <v>129</v>
      </c>
    </row>
    <row r="20" spans="1:21" ht="19.899999999999999" customHeight="1" x14ac:dyDescent="0.2">
      <c r="A20" s="6"/>
      <c r="B20" s="212"/>
      <c r="C20" s="11" t="s">
        <v>23</v>
      </c>
      <c r="D20" s="12">
        <f t="shared" ref="D20:D23" si="2">D19+1</f>
        <v>17</v>
      </c>
      <c r="E20" s="212"/>
      <c r="F20" s="245"/>
      <c r="G20" s="13"/>
      <c r="H20" s="13"/>
      <c r="I20" s="13"/>
      <c r="J20" s="13"/>
      <c r="K20" s="13"/>
      <c r="L20" s="13"/>
      <c r="M20" s="167"/>
      <c r="N20" s="255"/>
      <c r="O20" s="255"/>
      <c r="P20" s="13"/>
      <c r="Q20" s="270" t="s">
        <v>130</v>
      </c>
      <c r="R20" s="268"/>
      <c r="S20" s="271"/>
      <c r="T20" s="158" t="s">
        <v>131</v>
      </c>
      <c r="U20" s="261"/>
    </row>
    <row r="21" spans="1:21" ht="19.899999999999999" customHeight="1" x14ac:dyDescent="0.2">
      <c r="A21" s="6"/>
      <c r="B21" s="212"/>
      <c r="C21" s="11" t="s">
        <v>25</v>
      </c>
      <c r="D21" s="12">
        <f t="shared" si="2"/>
        <v>18</v>
      </c>
      <c r="E21" s="212"/>
      <c r="F21" s="245"/>
      <c r="G21" s="13"/>
      <c r="H21" s="13"/>
      <c r="I21" s="13"/>
      <c r="J21" s="13"/>
      <c r="K21" s="13"/>
      <c r="L21" s="113"/>
      <c r="M21" s="157" t="s">
        <v>132</v>
      </c>
      <c r="N21" s="266"/>
      <c r="O21" s="255"/>
      <c r="P21" s="13"/>
      <c r="Q21" s="271"/>
      <c r="R21" s="273"/>
      <c r="S21" s="271"/>
      <c r="T21" s="157" t="s">
        <v>133</v>
      </c>
      <c r="U21" s="261"/>
    </row>
    <row r="22" spans="1:21" ht="19.899999999999999" customHeight="1" x14ac:dyDescent="0.2">
      <c r="A22" s="6"/>
      <c r="B22" s="212"/>
      <c r="C22" s="11" t="s">
        <v>27</v>
      </c>
      <c r="D22" s="12">
        <f t="shared" si="2"/>
        <v>19</v>
      </c>
      <c r="E22" s="212"/>
      <c r="F22" s="245"/>
      <c r="G22" s="13"/>
      <c r="H22" s="13"/>
      <c r="I22" s="13"/>
      <c r="J22" s="13"/>
      <c r="K22" s="13"/>
      <c r="L22" s="13"/>
      <c r="M22" s="169" t="s">
        <v>46</v>
      </c>
      <c r="N22" s="255"/>
      <c r="O22" s="255"/>
      <c r="P22" s="13"/>
      <c r="Q22" s="271"/>
      <c r="R22" s="158" t="s">
        <v>134</v>
      </c>
      <c r="S22" s="272"/>
      <c r="T22" s="159" t="s">
        <v>135</v>
      </c>
      <c r="U22" s="261"/>
    </row>
    <row r="23" spans="1:21" ht="19.899999999999999" customHeight="1" x14ac:dyDescent="0.2">
      <c r="A23" s="6"/>
      <c r="B23" s="212"/>
      <c r="C23" s="15" t="s">
        <v>29</v>
      </c>
      <c r="D23" s="16">
        <f t="shared" si="2"/>
        <v>20</v>
      </c>
      <c r="E23" s="213"/>
      <c r="F23" s="245"/>
      <c r="G23" s="17"/>
      <c r="H23" s="17"/>
      <c r="I23" s="17"/>
      <c r="J23" s="76" t="s">
        <v>136</v>
      </c>
      <c r="K23" s="17"/>
      <c r="L23" s="17"/>
      <c r="M23" s="17"/>
      <c r="N23" s="256"/>
      <c r="O23" s="256"/>
      <c r="P23" s="17"/>
      <c r="Q23" s="272"/>
      <c r="R23" s="164" t="s">
        <v>30</v>
      </c>
      <c r="S23" s="162" t="s">
        <v>137</v>
      </c>
      <c r="T23" s="20"/>
      <c r="U23" s="234"/>
    </row>
    <row r="24" spans="1:21" ht="13.5" customHeight="1" x14ac:dyDescent="0.2">
      <c r="A24" s="6"/>
      <c r="B24" s="212"/>
      <c r="C24" s="18" t="s">
        <v>32</v>
      </c>
      <c r="D24" s="19">
        <v>21</v>
      </c>
      <c r="E24" s="20"/>
      <c r="F24" s="246"/>
      <c r="G24" s="20"/>
      <c r="H24" s="20"/>
      <c r="I24" s="20"/>
      <c r="J24" s="17"/>
      <c r="K24" s="20"/>
      <c r="L24" s="20"/>
      <c r="M24" s="21"/>
      <c r="N24" s="21"/>
      <c r="O24" s="21"/>
      <c r="P24" s="21"/>
      <c r="Q24" s="20"/>
      <c r="R24" s="20"/>
      <c r="S24" s="20"/>
      <c r="T24" s="21"/>
      <c r="U24" s="234"/>
    </row>
    <row r="25" spans="1:21" ht="13.5" customHeight="1" x14ac:dyDescent="0.2">
      <c r="A25" s="6"/>
      <c r="B25" s="213"/>
      <c r="C25" s="18" t="s">
        <v>33</v>
      </c>
      <c r="D25" s="19">
        <v>22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1"/>
      <c r="P25" s="21"/>
      <c r="Q25" s="20"/>
      <c r="R25" s="20"/>
      <c r="S25" s="20"/>
      <c r="T25" s="21"/>
      <c r="U25" s="235"/>
    </row>
    <row r="26" spans="1:21" ht="12" customHeight="1" x14ac:dyDescent="0.2">
      <c r="A26" s="6"/>
      <c r="B26" s="208" t="s">
        <v>103</v>
      </c>
      <c r="C26" s="209"/>
      <c r="D26" s="210"/>
      <c r="E26" s="214" t="s">
        <v>2</v>
      </c>
      <c r="F26" s="215"/>
      <c r="G26" s="216"/>
      <c r="H26" s="96"/>
      <c r="I26" s="98" t="s">
        <v>3</v>
      </c>
      <c r="J26" s="98" t="s">
        <v>4</v>
      </c>
      <c r="K26" s="31"/>
      <c r="L26" s="77" t="s">
        <v>5</v>
      </c>
      <c r="M26" s="77" t="s">
        <v>6</v>
      </c>
      <c r="N26" s="77" t="s">
        <v>7</v>
      </c>
      <c r="O26" s="77" t="s">
        <v>8</v>
      </c>
      <c r="P26" s="77" t="s">
        <v>9</v>
      </c>
      <c r="Q26" s="77" t="s">
        <v>123</v>
      </c>
      <c r="R26" s="77" t="s">
        <v>11</v>
      </c>
      <c r="S26" s="78" t="s">
        <v>12</v>
      </c>
      <c r="T26" s="79" t="s">
        <v>13</v>
      </c>
      <c r="U26" s="7"/>
    </row>
    <row r="27" spans="1:21" ht="19.899999999999999" customHeight="1" x14ac:dyDescent="0.2">
      <c r="A27" s="6"/>
      <c r="B27" s="211">
        <f>B19+1</f>
        <v>9</v>
      </c>
      <c r="C27" s="8" t="s">
        <v>14</v>
      </c>
      <c r="D27" s="9">
        <v>23</v>
      </c>
      <c r="E27" s="257" t="s">
        <v>138</v>
      </c>
      <c r="F27" s="10"/>
      <c r="G27" s="10"/>
      <c r="H27" s="10"/>
      <c r="I27" s="10"/>
      <c r="J27" s="10"/>
      <c r="K27" s="10"/>
      <c r="L27" s="10"/>
      <c r="M27" s="224" t="s">
        <v>139</v>
      </c>
      <c r="N27" s="254" t="s">
        <v>18</v>
      </c>
      <c r="O27" s="254" t="s">
        <v>18</v>
      </c>
      <c r="P27" s="10"/>
      <c r="Q27" s="224" t="s">
        <v>139</v>
      </c>
      <c r="R27" s="226" t="s">
        <v>140</v>
      </c>
      <c r="S27" s="150" t="s">
        <v>141</v>
      </c>
      <c r="T27" s="10"/>
      <c r="U27" s="233" t="s">
        <v>78</v>
      </c>
    </row>
    <row r="28" spans="1:21" ht="19.899999999999999" customHeight="1" x14ac:dyDescent="0.2">
      <c r="A28" s="6"/>
      <c r="B28" s="212"/>
      <c r="C28" s="11" t="s">
        <v>23</v>
      </c>
      <c r="D28" s="12">
        <f t="shared" ref="D28:D31" si="3">D27+1</f>
        <v>24</v>
      </c>
      <c r="E28" s="212"/>
      <c r="F28" s="13"/>
      <c r="G28" s="13"/>
      <c r="H28" s="13"/>
      <c r="I28" s="13"/>
      <c r="J28" s="13"/>
      <c r="K28" s="13"/>
      <c r="L28" s="13"/>
      <c r="M28" s="242"/>
      <c r="N28" s="255"/>
      <c r="O28" s="255"/>
      <c r="P28" s="230" t="s">
        <v>142</v>
      </c>
      <c r="Q28" s="242"/>
      <c r="R28" s="227"/>
      <c r="S28" s="134" t="s">
        <v>143</v>
      </c>
      <c r="T28" s="131" t="s">
        <v>144</v>
      </c>
      <c r="U28" s="234"/>
    </row>
    <row r="29" spans="1:21" ht="19.899999999999999" customHeight="1" x14ac:dyDescent="0.2">
      <c r="A29" s="6"/>
      <c r="B29" s="212"/>
      <c r="C29" s="11" t="s">
        <v>25</v>
      </c>
      <c r="D29" s="12">
        <f t="shared" si="3"/>
        <v>25</v>
      </c>
      <c r="E29" s="212"/>
      <c r="F29" s="13"/>
      <c r="G29" s="13"/>
      <c r="H29" s="13"/>
      <c r="I29" s="13"/>
      <c r="J29" s="13"/>
      <c r="K29" s="13"/>
      <c r="L29" s="13"/>
      <c r="M29" s="13"/>
      <c r="N29" s="255"/>
      <c r="O29" s="255"/>
      <c r="P29" s="242"/>
      <c r="Q29" s="13"/>
      <c r="R29" s="227"/>
      <c r="S29" s="150" t="s">
        <v>145</v>
      </c>
      <c r="T29" s="134" t="s">
        <v>146</v>
      </c>
      <c r="U29" s="234"/>
    </row>
    <row r="30" spans="1:21" ht="19.899999999999999" customHeight="1" x14ac:dyDescent="0.2">
      <c r="A30" s="6"/>
      <c r="B30" s="212"/>
      <c r="C30" s="11" t="s">
        <v>27</v>
      </c>
      <c r="D30" s="12">
        <f t="shared" si="3"/>
        <v>26</v>
      </c>
      <c r="E30" s="212"/>
      <c r="F30" s="13"/>
      <c r="G30" s="13"/>
      <c r="H30" s="13"/>
      <c r="I30" s="13"/>
      <c r="J30" s="13"/>
      <c r="K30" s="13"/>
      <c r="L30" s="13"/>
      <c r="M30" s="140" t="s">
        <v>147</v>
      </c>
      <c r="N30" s="255"/>
      <c r="O30" s="255"/>
      <c r="P30" s="13"/>
      <c r="Q30" s="13"/>
      <c r="R30" s="227"/>
      <c r="S30" s="137" t="s">
        <v>148</v>
      </c>
      <c r="T30" s="137" t="s">
        <v>149</v>
      </c>
      <c r="U30" s="234"/>
    </row>
    <row r="31" spans="1:21" ht="19.899999999999999" customHeight="1" x14ac:dyDescent="0.2">
      <c r="A31" s="6"/>
      <c r="B31" s="212"/>
      <c r="C31" s="15" t="s">
        <v>29</v>
      </c>
      <c r="D31" s="12">
        <f t="shared" si="3"/>
        <v>27</v>
      </c>
      <c r="E31" s="213"/>
      <c r="F31" s="17"/>
      <c r="G31" s="17"/>
      <c r="H31" s="17"/>
      <c r="I31" s="17"/>
      <c r="J31" s="76" t="s">
        <v>136</v>
      </c>
      <c r="K31" s="17"/>
      <c r="L31" s="17"/>
      <c r="M31" s="17"/>
      <c r="N31" s="256"/>
      <c r="O31" s="256"/>
      <c r="P31" s="17"/>
      <c r="Q31" s="17"/>
      <c r="R31" s="228"/>
      <c r="S31" s="161" t="s">
        <v>150</v>
      </c>
      <c r="T31" s="17"/>
      <c r="U31" s="234"/>
    </row>
    <row r="32" spans="1:21" ht="13.5" customHeight="1" x14ac:dyDescent="0.2">
      <c r="A32" s="6"/>
      <c r="B32" s="212"/>
      <c r="C32" s="18" t="s">
        <v>32</v>
      </c>
      <c r="D32" s="22">
        <v>28</v>
      </c>
      <c r="E32" s="20"/>
      <c r="F32" s="20"/>
      <c r="G32" s="20"/>
      <c r="H32" s="20"/>
      <c r="I32" s="20"/>
      <c r="J32" s="20"/>
      <c r="K32" s="20"/>
      <c r="L32" s="20"/>
      <c r="M32" s="21"/>
      <c r="N32" s="21"/>
      <c r="O32" s="21"/>
      <c r="P32" s="21"/>
      <c r="Q32" s="20"/>
      <c r="R32" s="20"/>
      <c r="S32" s="20"/>
      <c r="T32" s="21"/>
      <c r="U32" s="234"/>
    </row>
    <row r="33" spans="1:21" ht="13.5" customHeight="1" x14ac:dyDescent="0.2">
      <c r="A33" s="6"/>
      <c r="B33" s="213"/>
      <c r="C33" s="18" t="s">
        <v>33</v>
      </c>
      <c r="D33" s="22">
        <v>1</v>
      </c>
      <c r="E33" s="20"/>
      <c r="F33" s="20"/>
      <c r="G33" s="20"/>
      <c r="H33" s="20"/>
      <c r="I33" s="20"/>
      <c r="J33" s="20"/>
      <c r="K33" s="20"/>
      <c r="L33" s="20"/>
      <c r="M33" s="21"/>
      <c r="N33" s="21"/>
      <c r="O33" s="21"/>
      <c r="P33" s="21"/>
      <c r="Q33" s="20"/>
      <c r="R33" s="20"/>
      <c r="S33" s="20"/>
      <c r="T33" s="20"/>
      <c r="U33" s="235"/>
    </row>
  </sheetData>
  <mergeCells count="43">
    <mergeCell ref="M27:M28"/>
    <mergeCell ref="Q27:Q28"/>
    <mergeCell ref="U27:U33"/>
    <mergeCell ref="U19:U25"/>
    <mergeCell ref="R27:R31"/>
    <mergeCell ref="S19:S22"/>
    <mergeCell ref="N19:N23"/>
    <mergeCell ref="N27:N31"/>
    <mergeCell ref="Q20:Q23"/>
    <mergeCell ref="R19:R21"/>
    <mergeCell ref="O19:O23"/>
    <mergeCell ref="P28:P29"/>
    <mergeCell ref="O27:O31"/>
    <mergeCell ref="U3:U9"/>
    <mergeCell ref="S3:S7"/>
    <mergeCell ref="N3:N7"/>
    <mergeCell ref="N11:N15"/>
    <mergeCell ref="O12:O14"/>
    <mergeCell ref="U11:U17"/>
    <mergeCell ref="R14:R17"/>
    <mergeCell ref="S12:S13"/>
    <mergeCell ref="P3:P4"/>
    <mergeCell ref="E3:E7"/>
    <mergeCell ref="T11:T12"/>
    <mergeCell ref="T13:T14"/>
    <mergeCell ref="B2:D2"/>
    <mergeCell ref="E2:G2"/>
    <mergeCell ref="B3:B9"/>
    <mergeCell ref="R5:R7"/>
    <mergeCell ref="B10:D10"/>
    <mergeCell ref="B11:B17"/>
    <mergeCell ref="E11:E15"/>
    <mergeCell ref="E10:G10"/>
    <mergeCell ref="F11:F15"/>
    <mergeCell ref="B18:D18"/>
    <mergeCell ref="B19:B25"/>
    <mergeCell ref="B26:D26"/>
    <mergeCell ref="B27:B33"/>
    <mergeCell ref="E27:E31"/>
    <mergeCell ref="E19:E23"/>
    <mergeCell ref="E18:G18"/>
    <mergeCell ref="E26:G26"/>
    <mergeCell ref="F19:F2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3"/>
  <sheetViews>
    <sheetView showGridLines="0" topLeftCell="A7" workbookViewId="0">
      <pane xSplit="4" topLeftCell="F7" activePane="topRight" state="frozen"/>
      <selection activeCell="T19" sqref="T19:T25"/>
      <selection pane="topRight" activeCell="T19" sqref="T19:T25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0.40234375" customWidth="1"/>
    <col min="12" max="21" width="15.73828125" customWidth="1"/>
    <col min="22" max="22" width="2.95703125" customWidth="1"/>
  </cols>
  <sheetData>
    <row r="1" spans="1:22" ht="9.75" customHeight="1" x14ac:dyDescent="0.2">
      <c r="A1" s="1" t="s">
        <v>0</v>
      </c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1"/>
      <c r="O1" s="1"/>
      <c r="P1" s="4"/>
      <c r="Q1" s="4"/>
      <c r="R1" s="4"/>
      <c r="S1" s="4"/>
      <c r="T1" s="4"/>
      <c r="U1" s="4"/>
      <c r="V1" s="5"/>
    </row>
    <row r="2" spans="1:22" ht="12" customHeight="1" x14ac:dyDescent="0.2">
      <c r="A2" s="6"/>
      <c r="B2" s="208" t="s">
        <v>151</v>
      </c>
      <c r="C2" s="209"/>
      <c r="D2" s="210"/>
      <c r="E2" s="214" t="s">
        <v>2</v>
      </c>
      <c r="F2" s="215"/>
      <c r="G2" s="216"/>
      <c r="H2" s="96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8</v>
      </c>
      <c r="O2" s="77" t="s">
        <v>7</v>
      </c>
      <c r="P2" s="77" t="s">
        <v>9</v>
      </c>
      <c r="Q2" s="77" t="s">
        <v>10</v>
      </c>
      <c r="R2" s="77" t="s">
        <v>11</v>
      </c>
      <c r="S2" s="77" t="s">
        <v>123</v>
      </c>
      <c r="T2" s="78" t="s">
        <v>12</v>
      </c>
      <c r="U2" s="79" t="s">
        <v>13</v>
      </c>
      <c r="V2" s="7"/>
    </row>
    <row r="3" spans="1:22" ht="19.899999999999999" customHeight="1" x14ac:dyDescent="0.2">
      <c r="A3" s="6"/>
      <c r="B3" s="211">
        <v>10</v>
      </c>
      <c r="C3" s="8" t="s">
        <v>14</v>
      </c>
      <c r="D3" s="12">
        <v>2</v>
      </c>
      <c r="E3" s="257" t="s">
        <v>152</v>
      </c>
      <c r="F3" s="10"/>
      <c r="G3" s="10"/>
      <c r="H3" s="10"/>
      <c r="I3" s="76" t="s">
        <v>153</v>
      </c>
      <c r="J3" s="10"/>
      <c r="K3" s="10"/>
      <c r="L3" s="10"/>
      <c r="M3" s="10"/>
      <c r="N3" s="254" t="s">
        <v>18</v>
      </c>
      <c r="O3" s="254" t="s">
        <v>18</v>
      </c>
      <c r="P3" s="239" t="s">
        <v>153</v>
      </c>
      <c r="Q3" s="10"/>
      <c r="R3" s="160" t="s">
        <v>154</v>
      </c>
      <c r="S3" s="10"/>
      <c r="T3" s="128" t="s">
        <v>155</v>
      </c>
      <c r="U3" s="10"/>
      <c r="V3" s="233" t="s">
        <v>156</v>
      </c>
    </row>
    <row r="4" spans="1:22" ht="19.899999999999999" customHeight="1" x14ac:dyDescent="0.2">
      <c r="A4" s="6"/>
      <c r="B4" s="212"/>
      <c r="C4" s="11" t="s">
        <v>23</v>
      </c>
      <c r="D4" s="12">
        <f t="shared" ref="D4:D6" si="0">D3+1</f>
        <v>3</v>
      </c>
      <c r="E4" s="212"/>
      <c r="F4" s="13"/>
      <c r="G4" s="13"/>
      <c r="H4" s="13"/>
      <c r="I4" s="13"/>
      <c r="J4" s="13"/>
      <c r="K4" s="13"/>
      <c r="L4" s="13"/>
      <c r="M4" s="13"/>
      <c r="N4" s="255"/>
      <c r="O4" s="255"/>
      <c r="P4" s="274"/>
      <c r="Q4" s="13"/>
      <c r="R4" s="275" t="s">
        <v>157</v>
      </c>
      <c r="S4" s="10"/>
      <c r="T4" s="275" t="s">
        <v>0</v>
      </c>
      <c r="U4" s="275" t="s">
        <v>157</v>
      </c>
      <c r="V4" s="234"/>
    </row>
    <row r="5" spans="1:22" ht="19.899999999999999" customHeight="1" x14ac:dyDescent="0.2">
      <c r="A5" s="6"/>
      <c r="B5" s="212"/>
      <c r="C5" s="11" t="s">
        <v>25</v>
      </c>
      <c r="D5" s="12">
        <f t="shared" si="0"/>
        <v>4</v>
      </c>
      <c r="E5" s="212"/>
      <c r="F5" s="13"/>
      <c r="G5" s="13"/>
      <c r="H5" s="13"/>
      <c r="I5" s="13"/>
      <c r="J5" s="13"/>
      <c r="K5" s="13"/>
      <c r="L5" s="13"/>
      <c r="M5" s="13"/>
      <c r="N5" s="255"/>
      <c r="O5" s="255"/>
      <c r="P5" s="120" t="s">
        <v>69</v>
      </c>
      <c r="Q5" s="115"/>
      <c r="R5" s="276"/>
      <c r="S5" s="13"/>
      <c r="T5" s="276"/>
      <c r="U5" s="276"/>
      <c r="V5" s="234"/>
    </row>
    <row r="6" spans="1:22" ht="19.899999999999999" customHeight="1" x14ac:dyDescent="0.2">
      <c r="A6" s="6"/>
      <c r="B6" s="212"/>
      <c r="C6" s="11" t="s">
        <v>27</v>
      </c>
      <c r="D6" s="12">
        <f t="shared" si="0"/>
        <v>5</v>
      </c>
      <c r="E6" s="212"/>
      <c r="F6" s="13"/>
      <c r="G6" s="13"/>
      <c r="H6" s="13"/>
      <c r="I6" s="13"/>
      <c r="J6" s="13"/>
      <c r="K6" s="13"/>
      <c r="L6" s="13"/>
      <c r="M6" s="13"/>
      <c r="N6" s="255"/>
      <c r="O6" s="255"/>
      <c r="P6" s="172"/>
      <c r="Q6" s="13"/>
      <c r="R6" s="156" t="s">
        <v>158</v>
      </c>
      <c r="S6" s="13"/>
      <c r="T6" s="137" t="s">
        <v>159</v>
      </c>
      <c r="U6" s="131" t="s">
        <v>160</v>
      </c>
      <c r="V6" s="234"/>
    </row>
    <row r="7" spans="1:22" ht="19.899999999999999" customHeight="1" x14ac:dyDescent="0.2">
      <c r="A7" s="6"/>
      <c r="B7" s="212"/>
      <c r="C7" s="15" t="s">
        <v>29</v>
      </c>
      <c r="D7" s="16">
        <f t="shared" ref="D7" si="1">D6+1</f>
        <v>6</v>
      </c>
      <c r="E7" s="213"/>
      <c r="F7" s="17"/>
      <c r="G7" s="17"/>
      <c r="H7" s="17"/>
      <c r="I7" s="17"/>
      <c r="J7" s="76" t="s">
        <v>136</v>
      </c>
      <c r="K7" s="17"/>
      <c r="L7" s="17"/>
      <c r="M7" s="17"/>
      <c r="N7" s="256"/>
      <c r="O7" s="256"/>
      <c r="P7" s="17" t="s">
        <v>46</v>
      </c>
      <c r="Q7" s="17"/>
      <c r="R7" s="134" t="s">
        <v>161</v>
      </c>
      <c r="S7" s="17"/>
      <c r="T7" s="129" t="s">
        <v>162</v>
      </c>
      <c r="U7" s="156" t="s">
        <v>158</v>
      </c>
      <c r="V7" s="234"/>
    </row>
    <row r="8" spans="1:22" ht="13.5" customHeight="1" x14ac:dyDescent="0.2">
      <c r="A8" s="6"/>
      <c r="B8" s="212"/>
      <c r="C8" s="18" t="s">
        <v>32</v>
      </c>
      <c r="D8" s="23">
        <f>D7+1</f>
        <v>7</v>
      </c>
      <c r="E8" s="20"/>
      <c r="F8" s="20"/>
      <c r="G8" s="20"/>
      <c r="H8" s="20"/>
      <c r="I8" s="20"/>
      <c r="J8" s="20"/>
      <c r="K8" s="20"/>
      <c r="L8" s="20"/>
      <c r="M8" s="21"/>
      <c r="N8" s="21"/>
      <c r="O8" s="21"/>
      <c r="P8" s="21"/>
      <c r="Q8" s="21"/>
      <c r="R8" s="224" t="s">
        <v>163</v>
      </c>
      <c r="S8" s="20"/>
      <c r="T8" s="20"/>
      <c r="U8" s="224" t="s">
        <v>163</v>
      </c>
      <c r="V8" s="234"/>
    </row>
    <row r="9" spans="1:22" ht="13.5" customHeight="1" x14ac:dyDescent="0.2">
      <c r="A9" s="6"/>
      <c r="B9" s="213"/>
      <c r="C9" s="18" t="s">
        <v>33</v>
      </c>
      <c r="D9" s="23">
        <f>D8+1</f>
        <v>8</v>
      </c>
      <c r="E9" s="20"/>
      <c r="F9" s="20"/>
      <c r="G9" s="20"/>
      <c r="H9" s="20"/>
      <c r="I9" s="20"/>
      <c r="J9" s="20"/>
      <c r="K9" s="20"/>
      <c r="L9" s="20"/>
      <c r="M9" s="21"/>
      <c r="N9" s="21"/>
      <c r="O9" s="21"/>
      <c r="P9" s="21"/>
      <c r="Q9" s="20"/>
      <c r="R9" s="225"/>
      <c r="S9" s="20"/>
      <c r="T9" s="20"/>
      <c r="U9" s="225"/>
      <c r="V9" s="235"/>
    </row>
    <row r="10" spans="1:22" ht="12" customHeight="1" x14ac:dyDescent="0.2">
      <c r="A10" s="6"/>
      <c r="B10" s="208" t="s">
        <v>151</v>
      </c>
      <c r="C10" s="209"/>
      <c r="D10" s="210"/>
      <c r="E10" s="214" t="s">
        <v>2</v>
      </c>
      <c r="F10" s="215"/>
      <c r="G10" s="216"/>
      <c r="H10" s="96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8</v>
      </c>
      <c r="O10" s="77" t="s">
        <v>7</v>
      </c>
      <c r="P10" s="77" t="s">
        <v>9</v>
      </c>
      <c r="Q10" s="77" t="s">
        <v>10</v>
      </c>
      <c r="R10" s="77" t="s">
        <v>11</v>
      </c>
      <c r="S10" s="77" t="s">
        <v>123</v>
      </c>
      <c r="T10" s="78" t="s">
        <v>12</v>
      </c>
      <c r="U10" s="79" t="s">
        <v>13</v>
      </c>
      <c r="V10" s="7"/>
    </row>
    <row r="11" spans="1:22" ht="19.899999999999999" customHeight="1" x14ac:dyDescent="0.2">
      <c r="A11" s="6"/>
      <c r="B11" s="211">
        <f>B3+1</f>
        <v>11</v>
      </c>
      <c r="C11" s="8" t="s">
        <v>14</v>
      </c>
      <c r="D11" s="9">
        <f>D9+1</f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254" t="s">
        <v>18</v>
      </c>
      <c r="O11" s="254" t="s">
        <v>18</v>
      </c>
      <c r="P11" s="171"/>
      <c r="Q11" s="10"/>
      <c r="R11" s="131" t="s">
        <v>164</v>
      </c>
      <c r="S11" s="147" t="s">
        <v>165</v>
      </c>
      <c r="T11" s="160" t="s">
        <v>166</v>
      </c>
      <c r="U11" s="131" t="s">
        <v>167</v>
      </c>
      <c r="V11" s="233" t="s">
        <v>13</v>
      </c>
    </row>
    <row r="12" spans="1:22" ht="19.899999999999999" customHeight="1" x14ac:dyDescent="0.2">
      <c r="A12" s="6"/>
      <c r="B12" s="212"/>
      <c r="C12" s="11" t="s">
        <v>23</v>
      </c>
      <c r="D12" s="12">
        <f t="shared" ref="D12:D15" si="2">D11+1</f>
        <v>10</v>
      </c>
      <c r="E12" s="13"/>
      <c r="F12" s="13"/>
      <c r="G12" s="13"/>
      <c r="H12" s="13"/>
      <c r="I12" s="13"/>
      <c r="J12" s="13"/>
      <c r="K12" s="13"/>
      <c r="L12" s="13"/>
      <c r="M12" s="13"/>
      <c r="N12" s="255"/>
      <c r="O12" s="255"/>
      <c r="P12" s="224" t="s">
        <v>168</v>
      </c>
      <c r="Q12" s="115"/>
      <c r="R12" s="128" t="s">
        <v>169</v>
      </c>
      <c r="S12" s="147" t="s">
        <v>165</v>
      </c>
      <c r="T12" s="128" t="s">
        <v>170</v>
      </c>
      <c r="U12" s="13"/>
      <c r="V12" s="234"/>
    </row>
    <row r="13" spans="1:22" ht="19.899999999999999" customHeight="1" x14ac:dyDescent="0.2">
      <c r="A13" s="6"/>
      <c r="B13" s="212"/>
      <c r="C13" s="11" t="s">
        <v>25</v>
      </c>
      <c r="D13" s="12">
        <f t="shared" si="2"/>
        <v>11</v>
      </c>
      <c r="E13" s="13"/>
      <c r="F13" s="13"/>
      <c r="G13" s="13"/>
      <c r="H13" s="13"/>
      <c r="I13" s="13"/>
      <c r="J13" s="13"/>
      <c r="K13" s="13"/>
      <c r="L13" s="13"/>
      <c r="M13" s="13"/>
      <c r="N13" s="255"/>
      <c r="O13" s="255"/>
      <c r="P13" s="225"/>
      <c r="Q13" s="115"/>
      <c r="R13" s="224" t="s">
        <v>164</v>
      </c>
      <c r="S13" s="224" t="s">
        <v>164</v>
      </c>
      <c r="T13" s="128" t="s">
        <v>171</v>
      </c>
      <c r="U13" s="137" t="s">
        <v>172</v>
      </c>
      <c r="V13" s="234"/>
    </row>
    <row r="14" spans="1:22" ht="19.899999999999999" customHeight="1" x14ac:dyDescent="0.2">
      <c r="A14" s="6"/>
      <c r="B14" s="212"/>
      <c r="C14" s="11" t="s">
        <v>27</v>
      </c>
      <c r="D14" s="12">
        <f t="shared" si="2"/>
        <v>12</v>
      </c>
      <c r="E14" s="13"/>
      <c r="F14" s="13"/>
      <c r="G14" s="13"/>
      <c r="H14" s="13"/>
      <c r="I14" s="13"/>
      <c r="J14" s="13"/>
      <c r="K14" s="13"/>
      <c r="L14" s="13"/>
      <c r="M14" s="13"/>
      <c r="N14" s="255"/>
      <c r="O14" s="255"/>
      <c r="P14" s="110"/>
      <c r="Q14" s="13"/>
      <c r="R14" s="225"/>
      <c r="S14" s="225"/>
      <c r="T14" s="137" t="s">
        <v>173</v>
      </c>
      <c r="U14" s="13"/>
      <c r="V14" s="234"/>
    </row>
    <row r="15" spans="1:22" ht="19.899999999999999" customHeight="1" x14ac:dyDescent="0.2">
      <c r="A15" s="6"/>
      <c r="B15" s="212"/>
      <c r="C15" s="15" t="s">
        <v>29</v>
      </c>
      <c r="D15" s="16">
        <f t="shared" si="2"/>
        <v>13</v>
      </c>
      <c r="E15" s="17"/>
      <c r="F15" s="17"/>
      <c r="G15" s="17"/>
      <c r="H15" s="17"/>
      <c r="I15" s="17"/>
      <c r="J15" s="76" t="s">
        <v>174</v>
      </c>
      <c r="K15" s="17"/>
      <c r="L15" s="17"/>
      <c r="M15" s="17"/>
      <c r="N15" s="256"/>
      <c r="O15" s="256"/>
      <c r="P15" s="17"/>
      <c r="Q15" s="17"/>
      <c r="R15" s="147" t="s">
        <v>175</v>
      </c>
      <c r="S15" s="147" t="s">
        <v>175</v>
      </c>
      <c r="T15" s="147" t="s">
        <v>175</v>
      </c>
      <c r="U15" s="147" t="s">
        <v>176</v>
      </c>
      <c r="V15" s="234"/>
    </row>
    <row r="16" spans="1:22" ht="13.5" customHeight="1" x14ac:dyDescent="0.2">
      <c r="A16" s="6"/>
      <c r="B16" s="212"/>
      <c r="C16" s="18" t="s">
        <v>32</v>
      </c>
      <c r="D16" s="9">
        <f>D15+1</f>
        <v>14</v>
      </c>
      <c r="E16" s="20"/>
      <c r="F16" s="20"/>
      <c r="G16" s="20"/>
      <c r="H16" s="20"/>
      <c r="I16" s="20"/>
      <c r="J16" s="20"/>
      <c r="K16" s="20"/>
      <c r="L16" s="20"/>
      <c r="M16" s="21"/>
      <c r="N16" s="21"/>
      <c r="O16" s="21"/>
      <c r="P16" s="21"/>
      <c r="Q16" s="20"/>
      <c r="R16" s="20"/>
      <c r="S16" s="20"/>
      <c r="T16" s="20"/>
      <c r="U16" s="21"/>
      <c r="V16" s="234"/>
    </row>
    <row r="17" spans="1:22" ht="13.5" customHeight="1" x14ac:dyDescent="0.2">
      <c r="A17" s="6"/>
      <c r="B17" s="213"/>
      <c r="C17" s="18" t="s">
        <v>33</v>
      </c>
      <c r="D17" s="9">
        <f>D16+1</f>
        <v>15</v>
      </c>
      <c r="E17" s="20"/>
      <c r="F17" s="20"/>
      <c r="G17" s="21"/>
      <c r="H17" s="20"/>
      <c r="I17" s="20"/>
      <c r="J17" s="20"/>
      <c r="K17" s="20"/>
      <c r="L17" s="20"/>
      <c r="M17" s="21"/>
      <c r="N17" s="21"/>
      <c r="O17" s="21"/>
      <c r="P17" s="21"/>
      <c r="Q17" s="20"/>
      <c r="R17" s="20"/>
      <c r="S17" s="20"/>
      <c r="T17" s="20"/>
      <c r="U17" s="21"/>
      <c r="V17" s="235"/>
    </row>
    <row r="18" spans="1:22" ht="12" customHeight="1" x14ac:dyDescent="0.2">
      <c r="A18" s="6"/>
      <c r="B18" s="208" t="s">
        <v>151</v>
      </c>
      <c r="C18" s="209"/>
      <c r="D18" s="210"/>
      <c r="E18" s="214" t="s">
        <v>2</v>
      </c>
      <c r="F18" s="215"/>
      <c r="G18" s="216"/>
      <c r="H18" s="96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8</v>
      </c>
      <c r="O18" s="77" t="s">
        <v>7</v>
      </c>
      <c r="P18" s="77" t="s">
        <v>9</v>
      </c>
      <c r="Q18" s="77" t="s">
        <v>10</v>
      </c>
      <c r="R18" s="112" t="s">
        <v>11</v>
      </c>
      <c r="S18" s="77" t="s">
        <v>123</v>
      </c>
      <c r="T18" s="78" t="s">
        <v>12</v>
      </c>
      <c r="U18" s="79" t="s">
        <v>13</v>
      </c>
      <c r="V18" s="7"/>
    </row>
    <row r="19" spans="1:22" ht="19.899999999999999" customHeight="1" x14ac:dyDescent="0.2">
      <c r="A19" s="6"/>
      <c r="B19" s="211">
        <f>B11+1</f>
        <v>12</v>
      </c>
      <c r="C19" s="8" t="s">
        <v>14</v>
      </c>
      <c r="D19" s="9">
        <f>D17+1</f>
        <v>16</v>
      </c>
      <c r="E19" s="10"/>
      <c r="F19" s="10"/>
      <c r="G19" s="10"/>
      <c r="H19" s="10"/>
      <c r="I19" s="76" t="s">
        <v>177</v>
      </c>
      <c r="J19" s="10"/>
      <c r="K19" s="10"/>
      <c r="L19" s="10"/>
      <c r="M19" s="10"/>
      <c r="N19" s="10"/>
      <c r="O19" s="10"/>
      <c r="P19" s="239" t="s">
        <v>177</v>
      </c>
      <c r="Q19" s="10"/>
      <c r="R19" s="131" t="s">
        <v>178</v>
      </c>
      <c r="S19" s="133" t="s">
        <v>179</v>
      </c>
      <c r="T19" s="177" t="s">
        <v>180</v>
      </c>
      <c r="U19" s="10"/>
      <c r="V19" s="233"/>
    </row>
    <row r="20" spans="1:22" ht="19.899999999999999" customHeight="1" x14ac:dyDescent="0.2">
      <c r="A20" s="6"/>
      <c r="B20" s="212"/>
      <c r="C20" s="11" t="s">
        <v>23</v>
      </c>
      <c r="D20" s="12">
        <f t="shared" ref="D20:D23" si="3">D19+1</f>
        <v>17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240"/>
      <c r="Q20" s="13"/>
      <c r="R20" s="277" t="s">
        <v>181</v>
      </c>
      <c r="S20" s="13"/>
      <c r="T20" s="134" t="s">
        <v>182</v>
      </c>
      <c r="U20" s="128" t="s">
        <v>183</v>
      </c>
      <c r="V20" s="234"/>
    </row>
    <row r="21" spans="1:22" ht="19.899999999999999" customHeight="1" x14ac:dyDescent="0.2">
      <c r="A21" s="6"/>
      <c r="B21" s="212"/>
      <c r="C21" s="11" t="s">
        <v>25</v>
      </c>
      <c r="D21" s="12">
        <f t="shared" si="3"/>
        <v>18</v>
      </c>
      <c r="E21" s="13"/>
      <c r="F21" s="13"/>
      <c r="G21" s="13"/>
      <c r="H21" s="13"/>
      <c r="I21" s="13"/>
      <c r="J21" s="13"/>
      <c r="K21" s="13"/>
      <c r="L21" s="13"/>
      <c r="M21" s="167"/>
      <c r="N21" s="13"/>
      <c r="O21" s="13"/>
      <c r="P21" s="133" t="s">
        <v>184</v>
      </c>
      <c r="Q21" s="13"/>
      <c r="R21" s="278"/>
      <c r="S21" s="133" t="s">
        <v>184</v>
      </c>
      <c r="T21" s="174" t="s">
        <v>185</v>
      </c>
      <c r="U21" s="128" t="s">
        <v>181</v>
      </c>
      <c r="V21" s="234"/>
    </row>
    <row r="22" spans="1:22" ht="19.899999999999999" customHeight="1" x14ac:dyDescent="0.2">
      <c r="A22" s="6"/>
      <c r="B22" s="212"/>
      <c r="C22" s="11" t="s">
        <v>27</v>
      </c>
      <c r="D22" s="12">
        <f t="shared" si="3"/>
        <v>19</v>
      </c>
      <c r="E22" s="13"/>
      <c r="F22" s="13"/>
      <c r="G22" s="110"/>
      <c r="H22" s="13"/>
      <c r="I22" s="13"/>
      <c r="J22" s="13"/>
      <c r="K22" s="13"/>
      <c r="L22" s="113"/>
      <c r="M22" s="140" t="s">
        <v>186</v>
      </c>
      <c r="N22" s="115"/>
      <c r="O22" s="113"/>
      <c r="P22" s="224" t="s">
        <v>187</v>
      </c>
      <c r="Q22" s="115"/>
      <c r="R22" s="141" t="s">
        <v>188</v>
      </c>
      <c r="S22" s="133" t="s">
        <v>189</v>
      </c>
      <c r="T22" s="165" t="s">
        <v>190</v>
      </c>
      <c r="U22" s="137" t="s">
        <v>191</v>
      </c>
      <c r="V22" s="234"/>
    </row>
    <row r="23" spans="1:22" ht="19.899999999999999" customHeight="1" x14ac:dyDescent="0.2">
      <c r="A23" s="6"/>
      <c r="B23" s="212"/>
      <c r="C23" s="15" t="s">
        <v>29</v>
      </c>
      <c r="D23" s="16">
        <f t="shared" si="3"/>
        <v>20</v>
      </c>
      <c r="E23" s="17"/>
      <c r="F23" s="17"/>
      <c r="G23" s="17"/>
      <c r="H23" s="17"/>
      <c r="I23" s="17"/>
      <c r="J23" s="76" t="s">
        <v>174</v>
      </c>
      <c r="K23" s="17"/>
      <c r="L23" s="17"/>
      <c r="M23" s="109"/>
      <c r="N23" s="17"/>
      <c r="O23" s="119"/>
      <c r="P23" s="225"/>
      <c r="Q23" s="173"/>
      <c r="R23" s="17"/>
      <c r="S23" s="17"/>
      <c r="T23" s="141" t="s">
        <v>192</v>
      </c>
      <c r="U23" s="17" t="s">
        <v>193</v>
      </c>
      <c r="V23" s="234"/>
    </row>
    <row r="24" spans="1:22" ht="13.5" customHeight="1" x14ac:dyDescent="0.2">
      <c r="A24" s="6"/>
      <c r="B24" s="212"/>
      <c r="C24" s="18" t="s">
        <v>32</v>
      </c>
      <c r="D24" s="9">
        <f>D23+1</f>
        <v>21</v>
      </c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1"/>
      <c r="P24" s="21"/>
      <c r="Q24" s="20"/>
      <c r="R24" s="20"/>
      <c r="S24" s="20"/>
      <c r="T24" s="13"/>
      <c r="U24" s="21" t="s">
        <v>193</v>
      </c>
      <c r="V24" s="234"/>
    </row>
    <row r="25" spans="1:22" ht="13.5" customHeight="1" x14ac:dyDescent="0.2">
      <c r="A25" s="6"/>
      <c r="B25" s="213"/>
      <c r="C25" s="18" t="s">
        <v>33</v>
      </c>
      <c r="D25" s="9">
        <f>D24+1</f>
        <v>22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1"/>
      <c r="P25" s="21"/>
      <c r="Q25" s="20"/>
      <c r="R25" s="20"/>
      <c r="S25" s="20"/>
      <c r="T25" s="13"/>
      <c r="U25" s="21" t="s">
        <v>193</v>
      </c>
      <c r="V25" s="235"/>
    </row>
    <row r="26" spans="1:22" ht="12" customHeight="1" x14ac:dyDescent="0.2">
      <c r="A26" s="6"/>
      <c r="B26" s="208" t="s">
        <v>151</v>
      </c>
      <c r="C26" s="209"/>
      <c r="D26" s="210"/>
      <c r="E26" s="214" t="s">
        <v>2</v>
      </c>
      <c r="F26" s="215"/>
      <c r="G26" s="216"/>
      <c r="H26" s="96"/>
      <c r="I26" s="98" t="s">
        <v>3</v>
      </c>
      <c r="J26" s="98" t="s">
        <v>4</v>
      </c>
      <c r="K26" s="31"/>
      <c r="L26" s="77" t="s">
        <v>5</v>
      </c>
      <c r="M26" s="77" t="s">
        <v>6</v>
      </c>
      <c r="N26" s="77" t="s">
        <v>8</v>
      </c>
      <c r="O26" s="77" t="s">
        <v>7</v>
      </c>
      <c r="P26" s="77" t="s">
        <v>9</v>
      </c>
      <c r="Q26" s="77" t="s">
        <v>10</v>
      </c>
      <c r="R26" s="77" t="s">
        <v>11</v>
      </c>
      <c r="S26" s="77" t="s">
        <v>123</v>
      </c>
      <c r="T26" s="78" t="s">
        <v>12</v>
      </c>
      <c r="U26" s="79" t="s">
        <v>13</v>
      </c>
      <c r="V26" s="7"/>
    </row>
    <row r="27" spans="1:22" ht="19.899999999999999" customHeight="1" x14ac:dyDescent="0.2">
      <c r="A27" s="6"/>
      <c r="B27" s="211">
        <f>B19+1</f>
        <v>13</v>
      </c>
      <c r="C27" s="8" t="s">
        <v>14</v>
      </c>
      <c r="D27" s="9">
        <f>D25+1</f>
        <v>23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224" t="s">
        <v>194</v>
      </c>
      <c r="Q27" s="10"/>
      <c r="R27" s="224" t="s">
        <v>195</v>
      </c>
      <c r="S27" s="279" t="s">
        <v>196</v>
      </c>
      <c r="T27" s="166" t="s">
        <v>197</v>
      </c>
      <c r="U27" s="224" t="s">
        <v>198</v>
      </c>
      <c r="V27" s="233" t="s">
        <v>60</v>
      </c>
    </row>
    <row r="28" spans="1:22" ht="19.899999999999999" customHeight="1" x14ac:dyDescent="0.2">
      <c r="A28" s="6"/>
      <c r="B28" s="212"/>
      <c r="C28" s="11" t="s">
        <v>23</v>
      </c>
      <c r="D28" s="12">
        <f t="shared" ref="D28:D31" si="4">D27+1</f>
        <v>24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241"/>
      <c r="Q28" s="13"/>
      <c r="R28" s="225"/>
      <c r="S28" s="280"/>
      <c r="T28" s="128" t="s">
        <v>199</v>
      </c>
      <c r="U28" s="242"/>
      <c r="V28" s="234"/>
    </row>
    <row r="29" spans="1:22" ht="19.899999999999999" customHeight="1" x14ac:dyDescent="0.2">
      <c r="A29" s="6"/>
      <c r="B29" s="212"/>
      <c r="C29" s="11" t="s">
        <v>25</v>
      </c>
      <c r="D29" s="12">
        <f t="shared" si="4"/>
        <v>25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242"/>
      <c r="Q29" s="13"/>
      <c r="R29" s="224" t="s">
        <v>200</v>
      </c>
      <c r="S29" s="280"/>
      <c r="T29" s="128" t="s">
        <v>199</v>
      </c>
      <c r="U29" s="13"/>
      <c r="V29" s="234"/>
    </row>
    <row r="30" spans="1:22" ht="19.899999999999999" customHeight="1" x14ac:dyDescent="0.2">
      <c r="A30" s="6"/>
      <c r="B30" s="212"/>
      <c r="C30" s="11" t="s">
        <v>27</v>
      </c>
      <c r="D30" s="12">
        <f t="shared" si="4"/>
        <v>26</v>
      </c>
      <c r="E30" s="13"/>
      <c r="F30" s="13"/>
      <c r="G30" s="13"/>
      <c r="H30" s="13"/>
      <c r="I30" s="13"/>
      <c r="J30" s="13"/>
      <c r="K30" s="13"/>
      <c r="L30" s="13"/>
      <c r="M30" s="127" t="s">
        <v>30</v>
      </c>
      <c r="N30" s="13"/>
      <c r="O30" s="13"/>
      <c r="P30" s="13"/>
      <c r="Q30" s="13"/>
      <c r="R30" s="225"/>
      <c r="S30" s="17"/>
      <c r="T30" s="179" t="s">
        <v>201</v>
      </c>
      <c r="U30" s="131" t="s">
        <v>202</v>
      </c>
      <c r="V30" s="234"/>
    </row>
    <row r="31" spans="1:22" ht="19.899999999999999" customHeight="1" x14ac:dyDescent="0.2">
      <c r="A31" s="6"/>
      <c r="B31" s="212"/>
      <c r="C31" s="15" t="s">
        <v>29</v>
      </c>
      <c r="D31" s="16">
        <f t="shared" si="4"/>
        <v>27</v>
      </c>
      <c r="E31" s="17"/>
      <c r="F31" s="17"/>
      <c r="G31" s="17"/>
      <c r="H31" s="17"/>
      <c r="I31" s="17"/>
      <c r="J31" s="76" t="s">
        <v>203</v>
      </c>
      <c r="K31" s="17"/>
      <c r="L31" s="17"/>
      <c r="M31" s="127" t="s">
        <v>30</v>
      </c>
      <c r="N31" s="17"/>
      <c r="O31" s="17"/>
      <c r="P31" s="17"/>
      <c r="Q31" s="17"/>
      <c r="R31" s="140" t="s">
        <v>204</v>
      </c>
      <c r="S31" s="17"/>
      <c r="T31" s="179" t="s">
        <v>48</v>
      </c>
      <c r="U31" s="17"/>
      <c r="V31" s="234"/>
    </row>
    <row r="32" spans="1:22" ht="13.5" customHeight="1" x14ac:dyDescent="0.2">
      <c r="A32" s="6"/>
      <c r="B32" s="212"/>
      <c r="C32" s="18" t="s">
        <v>32</v>
      </c>
      <c r="D32" s="19">
        <f>D31+1</f>
        <v>28</v>
      </c>
      <c r="E32" s="20"/>
      <c r="F32" s="20"/>
      <c r="G32" s="20"/>
      <c r="H32" s="20"/>
      <c r="I32" s="20"/>
      <c r="J32" s="20"/>
      <c r="K32" s="20"/>
      <c r="L32" s="20"/>
      <c r="M32" s="21"/>
      <c r="N32" s="21"/>
      <c r="O32" s="21"/>
      <c r="P32" s="21"/>
      <c r="Q32" s="20"/>
      <c r="R32" s="20"/>
      <c r="S32" s="20"/>
      <c r="T32" s="20"/>
      <c r="U32" s="21"/>
      <c r="V32" s="234"/>
    </row>
    <row r="33" spans="1:22" ht="13.5" customHeight="1" x14ac:dyDescent="0.2">
      <c r="A33" s="6"/>
      <c r="B33" s="213"/>
      <c r="C33" s="18" t="s">
        <v>33</v>
      </c>
      <c r="D33" s="19">
        <f>D32+1</f>
        <v>29</v>
      </c>
      <c r="E33" s="20"/>
      <c r="F33" s="20"/>
      <c r="G33" s="20"/>
      <c r="H33" s="20"/>
      <c r="I33" s="20"/>
      <c r="J33" s="20"/>
      <c r="K33" s="20"/>
      <c r="L33" s="20"/>
      <c r="M33" s="21"/>
      <c r="N33" s="21"/>
      <c r="O33" s="21"/>
      <c r="P33" s="21"/>
      <c r="Q33" s="20"/>
      <c r="R33" s="20"/>
      <c r="S33" s="20"/>
      <c r="T33" s="20"/>
      <c r="U33" s="21"/>
      <c r="V33" s="235"/>
    </row>
  </sheetData>
  <mergeCells count="38">
    <mergeCell ref="U27:U28"/>
    <mergeCell ref="R29:R30"/>
    <mergeCell ref="R27:R28"/>
    <mergeCell ref="R8:R9"/>
    <mergeCell ref="S13:S14"/>
    <mergeCell ref="R13:R14"/>
    <mergeCell ref="R20:R21"/>
    <mergeCell ref="S27:S29"/>
    <mergeCell ref="B27:B33"/>
    <mergeCell ref="B10:D10"/>
    <mergeCell ref="B11:B17"/>
    <mergeCell ref="B18:D18"/>
    <mergeCell ref="B19:B25"/>
    <mergeCell ref="B26:D26"/>
    <mergeCell ref="V27:V33"/>
    <mergeCell ref="E10:G10"/>
    <mergeCell ref="E18:G18"/>
    <mergeCell ref="P3:P4"/>
    <mergeCell ref="P19:P20"/>
    <mergeCell ref="U4:U5"/>
    <mergeCell ref="E26:G26"/>
    <mergeCell ref="P27:P29"/>
    <mergeCell ref="O3:O7"/>
    <mergeCell ref="O11:O15"/>
    <mergeCell ref="P22:P23"/>
    <mergeCell ref="T4:T5"/>
    <mergeCell ref="N3:N7"/>
    <mergeCell ref="N11:N15"/>
    <mergeCell ref="R4:R5"/>
    <mergeCell ref="V3:V9"/>
    <mergeCell ref="B2:D2"/>
    <mergeCell ref="B3:B9"/>
    <mergeCell ref="E3:E7"/>
    <mergeCell ref="E2:G2"/>
    <mergeCell ref="V19:V25"/>
    <mergeCell ref="V11:V17"/>
    <mergeCell ref="U8:U9"/>
    <mergeCell ref="P12:P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1"/>
  <sheetViews>
    <sheetView showGridLines="0" topLeftCell="A4" workbookViewId="0">
      <pane xSplit="4" topLeftCell="E4" activePane="topRight" state="frozen"/>
      <selection activeCell="T19" sqref="T19:T25"/>
      <selection pane="topRight" activeCell="T19" sqref="T19:T25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8" width="15.73828125" customWidth="1"/>
    <col min="9" max="9" width="0.40234375" customWidth="1"/>
    <col min="10" max="11" width="16.6796875" customWidth="1"/>
    <col min="12" max="12" width="0.40234375" customWidth="1"/>
    <col min="13" max="21" width="15.73828125" customWidth="1"/>
    <col min="22" max="22" width="2.95703125" customWidth="1"/>
  </cols>
  <sheetData>
    <row r="1" spans="1:22" ht="9.75" customHeight="1" x14ac:dyDescent="0.2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ht="12" customHeight="1" x14ac:dyDescent="0.2">
      <c r="A2" s="6"/>
      <c r="B2" s="208" t="s">
        <v>205</v>
      </c>
      <c r="C2" s="209"/>
      <c r="D2" s="210"/>
      <c r="E2" s="214" t="s">
        <v>2</v>
      </c>
      <c r="F2" s="215"/>
      <c r="G2" s="215"/>
      <c r="H2" s="216"/>
      <c r="I2" s="96"/>
      <c r="J2" s="98" t="s">
        <v>3</v>
      </c>
      <c r="K2" s="98" t="s">
        <v>4</v>
      </c>
      <c r="L2" s="31"/>
      <c r="M2" s="77" t="s">
        <v>5</v>
      </c>
      <c r="N2" s="77" t="s">
        <v>6</v>
      </c>
      <c r="O2" s="77" t="s">
        <v>7</v>
      </c>
      <c r="P2" s="77" t="s">
        <v>9</v>
      </c>
      <c r="Q2" s="77" t="s">
        <v>10</v>
      </c>
      <c r="R2" s="77" t="s">
        <v>11</v>
      </c>
      <c r="S2" s="77" t="s">
        <v>123</v>
      </c>
      <c r="T2" s="111" t="s">
        <v>12</v>
      </c>
      <c r="U2" s="79" t="s">
        <v>13</v>
      </c>
      <c r="V2" s="7"/>
    </row>
    <row r="3" spans="1:22" ht="19.899999999999999" customHeight="1" x14ac:dyDescent="0.2">
      <c r="A3" s="6"/>
      <c r="B3" s="211">
        <v>14</v>
      </c>
      <c r="C3" s="8" t="s">
        <v>14</v>
      </c>
      <c r="D3" s="12">
        <f>'Mars 2026'!D33+1</f>
        <v>30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270" t="s">
        <v>206</v>
      </c>
      <c r="R3" s="160" t="s">
        <v>31</v>
      </c>
      <c r="S3" s="270" t="s">
        <v>206</v>
      </c>
      <c r="T3" s="160" t="s">
        <v>207</v>
      </c>
      <c r="U3" s="180" t="s">
        <v>208</v>
      </c>
      <c r="V3" s="233"/>
    </row>
    <row r="4" spans="1:22" ht="19.899999999999999" customHeight="1" x14ac:dyDescent="0.2">
      <c r="A4" s="6"/>
      <c r="B4" s="212"/>
      <c r="C4" s="11" t="s">
        <v>23</v>
      </c>
      <c r="D4" s="12">
        <v>31</v>
      </c>
      <c r="E4" s="13"/>
      <c r="F4" s="13"/>
      <c r="G4" s="13"/>
      <c r="H4" s="13"/>
      <c r="I4" s="13"/>
      <c r="J4" s="13"/>
      <c r="K4" s="13"/>
      <c r="L4" s="13"/>
      <c r="M4" s="277" t="s">
        <v>206</v>
      </c>
      <c r="N4" s="277" t="s">
        <v>206</v>
      </c>
      <c r="O4" s="277" t="s">
        <v>206</v>
      </c>
      <c r="P4" s="281" t="s">
        <v>206</v>
      </c>
      <c r="Q4" s="281"/>
      <c r="R4" s="281" t="s">
        <v>206</v>
      </c>
      <c r="S4" s="281"/>
      <c r="T4" s="281" t="s">
        <v>206</v>
      </c>
      <c r="U4" s="281" t="s">
        <v>206</v>
      </c>
      <c r="V4" s="234"/>
    </row>
    <row r="5" spans="1:22" ht="19.899999999999999" customHeight="1" x14ac:dyDescent="0.2">
      <c r="A5" s="6"/>
      <c r="B5" s="212"/>
      <c r="C5" s="11" t="s">
        <v>25</v>
      </c>
      <c r="D5" s="12">
        <v>1</v>
      </c>
      <c r="E5" s="13"/>
      <c r="F5" s="13"/>
      <c r="G5" s="13"/>
      <c r="H5" s="13"/>
      <c r="I5" s="13"/>
      <c r="J5" s="13"/>
      <c r="K5" s="13"/>
      <c r="L5" s="13"/>
      <c r="M5" s="281"/>
      <c r="N5" s="281"/>
      <c r="O5" s="281"/>
      <c r="P5" s="281"/>
      <c r="Q5" s="281"/>
      <c r="R5" s="281"/>
      <c r="S5" s="281"/>
      <c r="T5" s="281"/>
      <c r="U5" s="281"/>
      <c r="V5" s="234"/>
    </row>
    <row r="6" spans="1:22" ht="19.899999999999999" customHeight="1" x14ac:dyDescent="0.2">
      <c r="A6" s="6"/>
      <c r="B6" s="212"/>
      <c r="C6" s="11" t="s">
        <v>27</v>
      </c>
      <c r="D6" s="12">
        <f>D5+1</f>
        <v>2</v>
      </c>
      <c r="E6" s="13"/>
      <c r="F6" s="13"/>
      <c r="G6" s="13"/>
      <c r="H6" s="13"/>
      <c r="I6" s="13"/>
      <c r="J6" s="13"/>
      <c r="K6" s="13"/>
      <c r="L6" s="13"/>
      <c r="M6" s="281"/>
      <c r="N6" s="281"/>
      <c r="O6" s="281"/>
      <c r="P6" s="281"/>
      <c r="Q6" s="281"/>
      <c r="R6" s="281"/>
      <c r="S6" s="281"/>
      <c r="T6" s="281"/>
      <c r="U6" s="281"/>
      <c r="V6" s="234"/>
    </row>
    <row r="7" spans="1:22" ht="19.899999999999999" customHeight="1" x14ac:dyDescent="0.2">
      <c r="A7" s="6"/>
      <c r="B7" s="212"/>
      <c r="C7" s="15" t="s">
        <v>29</v>
      </c>
      <c r="D7" s="16">
        <f t="shared" ref="D7" si="0">D6+1</f>
        <v>3</v>
      </c>
      <c r="E7" s="17"/>
      <c r="F7" s="17"/>
      <c r="G7" s="17"/>
      <c r="H7" s="17"/>
      <c r="I7" s="17"/>
      <c r="J7" s="17"/>
      <c r="K7" s="76" t="s">
        <v>203</v>
      </c>
      <c r="L7" s="17"/>
      <c r="M7" s="17"/>
      <c r="N7" s="127" t="s">
        <v>30</v>
      </c>
      <c r="O7" s="17"/>
      <c r="P7" s="127" t="s">
        <v>30</v>
      </c>
      <c r="Q7" s="282"/>
      <c r="R7" s="141" t="s">
        <v>209</v>
      </c>
      <c r="S7" s="282"/>
      <c r="T7" s="165" t="s">
        <v>210</v>
      </c>
      <c r="U7" s="282"/>
      <c r="V7" s="234"/>
    </row>
    <row r="8" spans="1:22" ht="13.5" customHeight="1" x14ac:dyDescent="0.2">
      <c r="A8" s="6"/>
      <c r="B8" s="212"/>
      <c r="C8" s="18" t="s">
        <v>32</v>
      </c>
      <c r="D8" s="23">
        <f>D6+1</f>
        <v>3</v>
      </c>
      <c r="E8" s="20"/>
      <c r="F8" s="20"/>
      <c r="G8" s="20"/>
      <c r="H8" s="20"/>
      <c r="I8" s="20"/>
      <c r="J8" s="20"/>
      <c r="K8" s="20"/>
      <c r="L8" s="20"/>
      <c r="M8" s="20"/>
      <c r="N8" s="21"/>
      <c r="O8" s="21"/>
      <c r="P8" s="20"/>
      <c r="Q8" s="20"/>
      <c r="R8" s="20"/>
      <c r="S8" s="20"/>
      <c r="T8" s="21"/>
      <c r="U8" s="21"/>
      <c r="V8" s="234"/>
    </row>
    <row r="9" spans="1:22" ht="13.5" customHeight="1" x14ac:dyDescent="0.2">
      <c r="A9" s="6"/>
      <c r="B9" s="213"/>
      <c r="C9" s="18" t="s">
        <v>33</v>
      </c>
      <c r="D9" s="23">
        <f>D7+1</f>
        <v>4</v>
      </c>
      <c r="E9" s="20"/>
      <c r="F9" s="20"/>
      <c r="G9" s="20"/>
      <c r="H9" s="20"/>
      <c r="I9" s="20"/>
      <c r="J9" s="20"/>
      <c r="K9" s="20"/>
      <c r="L9" s="20"/>
      <c r="M9" s="20"/>
      <c r="N9" s="21"/>
      <c r="O9" s="21"/>
      <c r="P9" s="20"/>
      <c r="Q9" s="20"/>
      <c r="R9" s="20"/>
      <c r="S9" s="20"/>
      <c r="T9" s="123"/>
      <c r="U9" s="21"/>
      <c r="V9" s="235"/>
    </row>
    <row r="10" spans="1:22" ht="12" customHeight="1" x14ac:dyDescent="0.2">
      <c r="A10" s="6"/>
      <c r="B10" s="208" t="s">
        <v>205</v>
      </c>
      <c r="C10" s="209"/>
      <c r="D10" s="210"/>
      <c r="E10" s="214" t="s">
        <v>2</v>
      </c>
      <c r="F10" s="215"/>
      <c r="G10" s="215"/>
      <c r="H10" s="216"/>
      <c r="I10" s="96"/>
      <c r="J10" s="98" t="s">
        <v>3</v>
      </c>
      <c r="K10" s="98" t="s">
        <v>4</v>
      </c>
      <c r="L10" s="31"/>
      <c r="M10" s="77" t="s">
        <v>5</v>
      </c>
      <c r="N10" s="77" t="s">
        <v>6</v>
      </c>
      <c r="O10" s="77" t="s">
        <v>7</v>
      </c>
      <c r="P10" s="77" t="s">
        <v>9</v>
      </c>
      <c r="Q10" s="77" t="s">
        <v>10</v>
      </c>
      <c r="R10" s="77" t="s">
        <v>11</v>
      </c>
      <c r="S10" s="79" t="s">
        <v>123</v>
      </c>
      <c r="T10" s="77" t="s">
        <v>12</v>
      </c>
      <c r="U10" s="122" t="s">
        <v>13</v>
      </c>
      <c r="V10" s="7"/>
    </row>
    <row r="11" spans="1:22" ht="19.899999999999999" customHeight="1" x14ac:dyDescent="0.2">
      <c r="A11" s="6"/>
      <c r="B11" s="211">
        <f>B3+1</f>
        <v>15</v>
      </c>
      <c r="C11" s="8" t="s">
        <v>14</v>
      </c>
      <c r="D11" s="9">
        <f>D9+2</f>
        <v>6</v>
      </c>
      <c r="E11" s="257" t="s">
        <v>112</v>
      </c>
      <c r="F11" s="10"/>
      <c r="G11" s="10"/>
      <c r="H11" s="10"/>
      <c r="I11" s="10"/>
      <c r="J11" s="10"/>
      <c r="K11" s="10"/>
      <c r="L11" s="10"/>
      <c r="M11" s="14" t="s">
        <v>28</v>
      </c>
      <c r="N11" s="14" t="s">
        <v>28</v>
      </c>
      <c r="O11" s="14" t="s">
        <v>28</v>
      </c>
      <c r="P11" s="14" t="s">
        <v>28</v>
      </c>
      <c r="Q11" s="14" t="s">
        <v>28</v>
      </c>
      <c r="R11" s="14" t="s">
        <v>28</v>
      </c>
      <c r="S11" s="14" t="s">
        <v>28</v>
      </c>
      <c r="T11" s="99" t="s">
        <v>28</v>
      </c>
      <c r="U11" s="14" t="s">
        <v>28</v>
      </c>
      <c r="V11" s="233" t="s">
        <v>211</v>
      </c>
    </row>
    <row r="12" spans="1:22" ht="19.899999999999999" customHeight="1" x14ac:dyDescent="0.2">
      <c r="A12" s="6"/>
      <c r="B12" s="212"/>
      <c r="C12" s="11" t="s">
        <v>23</v>
      </c>
      <c r="D12" s="12">
        <f t="shared" ref="D12:D15" si="1">D11+1</f>
        <v>7</v>
      </c>
      <c r="E12" s="2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41" t="s">
        <v>212</v>
      </c>
      <c r="S12" s="10"/>
      <c r="T12" s="107" t="s">
        <v>213</v>
      </c>
      <c r="U12" s="286" t="s">
        <v>30</v>
      </c>
      <c r="V12" s="234"/>
    </row>
    <row r="13" spans="1:22" ht="19.899999999999999" customHeight="1" x14ac:dyDescent="0.2">
      <c r="A13" s="6"/>
      <c r="B13" s="212"/>
      <c r="C13" s="11" t="s">
        <v>25</v>
      </c>
      <c r="D13" s="12">
        <f t="shared" si="1"/>
        <v>8</v>
      </c>
      <c r="E13" s="2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4" t="s">
        <v>214</v>
      </c>
      <c r="T13" s="128" t="s">
        <v>215</v>
      </c>
      <c r="U13" s="227"/>
      <c r="V13" s="234"/>
    </row>
    <row r="14" spans="1:22" ht="27" customHeight="1" x14ac:dyDescent="0.2">
      <c r="A14" s="6"/>
      <c r="B14" s="212"/>
      <c r="C14" s="11" t="s">
        <v>27</v>
      </c>
      <c r="D14" s="12">
        <f t="shared" si="1"/>
        <v>9</v>
      </c>
      <c r="E14" s="2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63" t="s">
        <v>216</v>
      </c>
      <c r="S14" s="189" t="s">
        <v>217</v>
      </c>
      <c r="T14" s="134" t="s">
        <v>218</v>
      </c>
      <c r="U14" s="227"/>
      <c r="V14" s="234"/>
    </row>
    <row r="15" spans="1:22" ht="19.899999999999999" customHeight="1" x14ac:dyDescent="0.2">
      <c r="A15" s="6"/>
      <c r="B15" s="212"/>
      <c r="C15" s="15" t="s">
        <v>29</v>
      </c>
      <c r="D15" s="16">
        <f t="shared" si="1"/>
        <v>10</v>
      </c>
      <c r="E15" s="213"/>
      <c r="F15" s="17"/>
      <c r="G15" s="17"/>
      <c r="H15" s="17"/>
      <c r="I15" s="17"/>
      <c r="J15" s="17"/>
      <c r="K15" s="76" t="s">
        <v>203</v>
      </c>
      <c r="L15" s="17"/>
      <c r="M15" s="17"/>
      <c r="N15" s="17"/>
      <c r="O15" s="17"/>
      <c r="P15" s="17"/>
      <c r="Q15" s="17"/>
      <c r="R15" s="184" t="s">
        <v>219</v>
      </c>
      <c r="S15" s="131" t="s">
        <v>220</v>
      </c>
      <c r="T15" s="134" t="s">
        <v>218</v>
      </c>
      <c r="U15" s="228"/>
      <c r="V15" s="234"/>
    </row>
    <row r="16" spans="1:22" ht="13.5" customHeight="1" x14ac:dyDescent="0.2">
      <c r="A16" s="6"/>
      <c r="B16" s="212"/>
      <c r="C16" s="18" t="s">
        <v>32</v>
      </c>
      <c r="D16" s="9">
        <f>D15+1</f>
        <v>11</v>
      </c>
      <c r="E16" s="20"/>
      <c r="F16" s="20"/>
      <c r="G16" s="20"/>
      <c r="H16" s="20"/>
      <c r="I16" s="20"/>
      <c r="J16" s="20"/>
      <c r="K16" s="20"/>
      <c r="L16" s="20"/>
      <c r="M16" s="20"/>
      <c r="N16" s="21"/>
      <c r="O16" s="21"/>
      <c r="P16" s="20"/>
      <c r="Q16" s="20"/>
      <c r="R16" s="20"/>
      <c r="S16" s="20"/>
      <c r="T16" s="192" t="s">
        <v>221</v>
      </c>
      <c r="U16" s="21"/>
      <c r="V16" s="234"/>
    </row>
    <row r="17" spans="1:22" ht="13.5" customHeight="1" x14ac:dyDescent="0.2">
      <c r="A17" s="6"/>
      <c r="B17" s="213"/>
      <c r="C17" s="18" t="s">
        <v>33</v>
      </c>
      <c r="D17" s="9">
        <f>D16+1</f>
        <v>12</v>
      </c>
      <c r="E17" s="20"/>
      <c r="F17" s="20"/>
      <c r="G17" s="20"/>
      <c r="H17" s="20"/>
      <c r="I17" s="20"/>
      <c r="J17" s="20"/>
      <c r="K17" s="20"/>
      <c r="L17" s="20"/>
      <c r="M17" s="20"/>
      <c r="N17" s="21"/>
      <c r="O17" s="21"/>
      <c r="P17" s="20"/>
      <c r="Q17" s="20"/>
      <c r="R17" s="20"/>
      <c r="S17" s="20"/>
      <c r="T17" s="192" t="s">
        <v>222</v>
      </c>
      <c r="U17" s="21"/>
      <c r="V17" s="235"/>
    </row>
    <row r="18" spans="1:22" ht="12" customHeight="1" x14ac:dyDescent="0.2">
      <c r="A18" s="6"/>
      <c r="B18" s="208" t="s">
        <v>205</v>
      </c>
      <c r="C18" s="209"/>
      <c r="D18" s="210"/>
      <c r="E18" s="214" t="s">
        <v>2</v>
      </c>
      <c r="F18" s="215"/>
      <c r="G18" s="215"/>
      <c r="H18" s="216"/>
      <c r="I18" s="96"/>
      <c r="J18" s="98" t="s">
        <v>3</v>
      </c>
      <c r="K18" s="98" t="s">
        <v>4</v>
      </c>
      <c r="L18" s="31"/>
      <c r="M18" s="77" t="s">
        <v>5</v>
      </c>
      <c r="N18" s="77" t="s">
        <v>6</v>
      </c>
      <c r="O18" s="77" t="s">
        <v>7</v>
      </c>
      <c r="P18" s="77" t="s">
        <v>9</v>
      </c>
      <c r="Q18" s="77" t="s">
        <v>10</v>
      </c>
      <c r="R18" s="77" t="s">
        <v>11</v>
      </c>
      <c r="S18" s="77" t="s">
        <v>123</v>
      </c>
      <c r="T18" s="78" t="s">
        <v>12</v>
      </c>
      <c r="U18" s="79" t="s">
        <v>13</v>
      </c>
      <c r="V18" s="7"/>
    </row>
    <row r="19" spans="1:22" ht="19.899999999999999" customHeight="1" x14ac:dyDescent="0.2">
      <c r="A19" s="6"/>
      <c r="B19" s="211">
        <f>B11+1</f>
        <v>16</v>
      </c>
      <c r="C19" s="8" t="s">
        <v>14</v>
      </c>
      <c r="D19" s="9">
        <f>D17+1</f>
        <v>13</v>
      </c>
      <c r="E19" s="257" t="s">
        <v>124</v>
      </c>
      <c r="F19" s="244" t="s">
        <v>223</v>
      </c>
      <c r="G19" s="10"/>
      <c r="H19" s="10"/>
      <c r="I19" s="10"/>
      <c r="J19" s="76" t="s">
        <v>224</v>
      </c>
      <c r="K19" s="13"/>
      <c r="L19" s="10"/>
      <c r="M19" s="10"/>
      <c r="N19" s="10"/>
      <c r="O19" s="10"/>
      <c r="P19" s="224" t="s">
        <v>57</v>
      </c>
      <c r="Q19" s="10"/>
      <c r="R19" s="14" t="s">
        <v>30</v>
      </c>
      <c r="S19" s="224" t="s">
        <v>225</v>
      </c>
      <c r="T19" s="270" t="s">
        <v>127</v>
      </c>
      <c r="U19" s="224" t="s">
        <v>79</v>
      </c>
      <c r="V19" s="233" t="s">
        <v>78</v>
      </c>
    </row>
    <row r="20" spans="1:22" ht="19.899999999999999" customHeight="1" x14ac:dyDescent="0.2">
      <c r="A20" s="6"/>
      <c r="B20" s="212"/>
      <c r="C20" s="11" t="s">
        <v>23</v>
      </c>
      <c r="D20" s="12">
        <f t="shared" ref="D20:D23" si="2">D19+1</f>
        <v>14</v>
      </c>
      <c r="E20" s="212"/>
      <c r="F20" s="245"/>
      <c r="G20" s="13"/>
      <c r="H20" s="13"/>
      <c r="I20" s="13"/>
      <c r="J20" s="13"/>
      <c r="K20" s="13"/>
      <c r="L20" s="13"/>
      <c r="M20" s="13"/>
      <c r="N20" s="13"/>
      <c r="O20" s="13"/>
      <c r="P20" s="242"/>
      <c r="Q20" s="13"/>
      <c r="R20" s="184" t="s">
        <v>226</v>
      </c>
      <c r="S20" s="242"/>
      <c r="T20" s="281"/>
      <c r="U20" s="241"/>
      <c r="V20" s="234"/>
    </row>
    <row r="21" spans="1:22" ht="19.899999999999999" customHeight="1" x14ac:dyDescent="0.2">
      <c r="A21" s="6"/>
      <c r="B21" s="212"/>
      <c r="C21" s="11" t="s">
        <v>25</v>
      </c>
      <c r="D21" s="12">
        <f t="shared" si="2"/>
        <v>15</v>
      </c>
      <c r="E21" s="212"/>
      <c r="F21" s="245"/>
      <c r="G21" s="13"/>
      <c r="H21" s="13"/>
      <c r="I21" s="13"/>
      <c r="J21" s="13"/>
      <c r="K21" s="76" t="s">
        <v>227</v>
      </c>
      <c r="L21" s="13"/>
      <c r="M21" s="13"/>
      <c r="N21" s="140" t="s">
        <v>186</v>
      </c>
      <c r="O21" s="13"/>
      <c r="P21" s="131" t="s">
        <v>228</v>
      </c>
      <c r="Q21" s="13"/>
      <c r="R21" s="134" t="s">
        <v>229</v>
      </c>
      <c r="S21" s="181" t="s">
        <v>230</v>
      </c>
      <c r="T21" s="281"/>
      <c r="U21" s="185" t="s">
        <v>231</v>
      </c>
      <c r="V21" s="234"/>
    </row>
    <row r="22" spans="1:22" ht="19.899999999999999" customHeight="1" x14ac:dyDescent="0.2">
      <c r="A22" s="6"/>
      <c r="B22" s="212"/>
      <c r="C22" s="11" t="s">
        <v>27</v>
      </c>
      <c r="D22" s="12">
        <f t="shared" si="2"/>
        <v>16</v>
      </c>
      <c r="E22" s="212"/>
      <c r="F22" s="245"/>
      <c r="G22" s="13"/>
      <c r="H22" s="13"/>
      <c r="I22" s="13"/>
      <c r="J22" s="13"/>
      <c r="K22" s="13"/>
      <c r="L22" s="13"/>
      <c r="M22" s="13"/>
      <c r="N22" s="13"/>
      <c r="O22" s="13"/>
      <c r="P22" s="131" t="s">
        <v>232</v>
      </c>
      <c r="Q22" s="13"/>
      <c r="R22" s="284" t="s">
        <v>233</v>
      </c>
      <c r="S22" s="131" t="s">
        <v>234</v>
      </c>
      <c r="T22" s="282"/>
      <c r="U22" s="186" t="s">
        <v>226</v>
      </c>
      <c r="V22" s="234"/>
    </row>
    <row r="23" spans="1:22" ht="19.899999999999999" customHeight="1" x14ac:dyDescent="0.2">
      <c r="A23" s="6"/>
      <c r="B23" s="212"/>
      <c r="C23" s="15" t="s">
        <v>29</v>
      </c>
      <c r="D23" s="16">
        <f t="shared" si="2"/>
        <v>17</v>
      </c>
      <c r="E23" s="213"/>
      <c r="F23" s="24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285"/>
      <c r="S23" s="17"/>
      <c r="T23" s="129" t="s">
        <v>235</v>
      </c>
      <c r="U23" s="165" t="s">
        <v>236</v>
      </c>
      <c r="V23" s="234"/>
    </row>
    <row r="24" spans="1:22" ht="13.5" customHeight="1" x14ac:dyDescent="0.2">
      <c r="A24" s="6"/>
      <c r="B24" s="212"/>
      <c r="C24" s="18" t="s">
        <v>32</v>
      </c>
      <c r="D24" s="9">
        <f>D23+1</f>
        <v>18</v>
      </c>
      <c r="E24" s="20"/>
      <c r="F24" s="20"/>
      <c r="G24" s="20"/>
      <c r="H24" s="20"/>
      <c r="I24" s="20"/>
      <c r="J24" s="20"/>
      <c r="K24" s="20"/>
      <c r="L24" s="20"/>
      <c r="M24" s="20"/>
      <c r="N24" s="21"/>
      <c r="O24" s="21"/>
      <c r="P24" s="20"/>
      <c r="Q24" s="20"/>
      <c r="R24" s="20"/>
      <c r="S24" s="20"/>
      <c r="T24" s="21"/>
      <c r="U24" s="21"/>
      <c r="V24" s="234"/>
    </row>
    <row r="25" spans="1:22" ht="13.5" customHeight="1" x14ac:dyDescent="0.2">
      <c r="A25" s="6"/>
      <c r="B25" s="213"/>
      <c r="C25" s="18" t="s">
        <v>33</v>
      </c>
      <c r="D25" s="9">
        <f>D24+1</f>
        <v>19</v>
      </c>
      <c r="E25" s="20"/>
      <c r="F25" s="20"/>
      <c r="G25" s="20"/>
      <c r="H25" s="20"/>
      <c r="I25" s="20"/>
      <c r="J25" s="20"/>
      <c r="K25" s="20"/>
      <c r="L25" s="20"/>
      <c r="M25" s="20"/>
      <c r="N25" s="21"/>
      <c r="O25" s="21"/>
      <c r="P25" s="20"/>
      <c r="Q25" s="20"/>
      <c r="R25" s="20"/>
      <c r="S25" s="176"/>
      <c r="T25" s="123"/>
      <c r="U25" s="21"/>
      <c r="V25" s="235"/>
    </row>
    <row r="26" spans="1:22" ht="12" customHeight="1" x14ac:dyDescent="0.2">
      <c r="A26" s="6"/>
      <c r="B26" s="208" t="s">
        <v>205</v>
      </c>
      <c r="C26" s="209"/>
      <c r="D26" s="210"/>
      <c r="E26" s="214" t="s">
        <v>2</v>
      </c>
      <c r="F26" s="215"/>
      <c r="G26" s="215"/>
      <c r="H26" s="216"/>
      <c r="I26" s="96"/>
      <c r="J26" s="98" t="s">
        <v>3</v>
      </c>
      <c r="K26" s="98" t="s">
        <v>4</v>
      </c>
      <c r="L26" s="31"/>
      <c r="M26" s="77" t="s">
        <v>5</v>
      </c>
      <c r="N26" s="77" t="s">
        <v>6</v>
      </c>
      <c r="O26" s="77" t="s">
        <v>7</v>
      </c>
      <c r="P26" s="77" t="s">
        <v>9</v>
      </c>
      <c r="Q26" s="77" t="s">
        <v>10</v>
      </c>
      <c r="R26" s="79" t="s">
        <v>11</v>
      </c>
      <c r="S26" s="79" t="s">
        <v>123</v>
      </c>
      <c r="T26" s="77" t="s">
        <v>12</v>
      </c>
      <c r="U26" s="122" t="s">
        <v>13</v>
      </c>
      <c r="V26" s="7"/>
    </row>
    <row r="27" spans="1:22" ht="19.899999999999999" customHeight="1" x14ac:dyDescent="0.2">
      <c r="A27" s="6"/>
      <c r="B27" s="211">
        <f>B19+1</f>
        <v>17</v>
      </c>
      <c r="C27" s="8" t="s">
        <v>14</v>
      </c>
      <c r="D27" s="9">
        <f>D25+1</f>
        <v>20</v>
      </c>
      <c r="E27" s="257" t="s">
        <v>138</v>
      </c>
      <c r="F27" s="244" t="s">
        <v>237</v>
      </c>
      <c r="G27" s="10"/>
      <c r="H27" s="10"/>
      <c r="I27" s="10"/>
      <c r="J27" s="10"/>
      <c r="K27" s="10"/>
      <c r="L27" s="10"/>
      <c r="M27" s="10"/>
      <c r="N27" s="10"/>
      <c r="O27" s="10"/>
      <c r="P27" s="131" t="s">
        <v>228</v>
      </c>
      <c r="Q27" s="10"/>
      <c r="R27" s="270" t="s">
        <v>127</v>
      </c>
      <c r="S27" s="110" t="s">
        <v>238</v>
      </c>
      <c r="T27" s="226" t="s">
        <v>30</v>
      </c>
      <c r="U27" s="166" t="s">
        <v>239</v>
      </c>
      <c r="V27" s="233" t="s">
        <v>129</v>
      </c>
    </row>
    <row r="28" spans="1:22" ht="19.899999999999999" customHeight="1" x14ac:dyDescent="0.2">
      <c r="A28" s="6"/>
      <c r="B28" s="212"/>
      <c r="C28" s="11" t="s">
        <v>23</v>
      </c>
      <c r="D28" s="12">
        <f t="shared" ref="D28:D31" si="3">D27+1</f>
        <v>21</v>
      </c>
      <c r="E28" s="212"/>
      <c r="F28" s="245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281"/>
      <c r="S28" s="134" t="s">
        <v>240</v>
      </c>
      <c r="T28" s="283"/>
      <c r="U28" s="134" t="s">
        <v>241</v>
      </c>
      <c r="V28" s="234"/>
    </row>
    <row r="29" spans="1:22" ht="19.899999999999999" customHeight="1" x14ac:dyDescent="0.2">
      <c r="A29" s="6"/>
      <c r="B29" s="212"/>
      <c r="C29" s="11" t="s">
        <v>25</v>
      </c>
      <c r="D29" s="12">
        <f t="shared" si="3"/>
        <v>22</v>
      </c>
      <c r="E29" s="212"/>
      <c r="F29" s="245"/>
      <c r="G29" s="13"/>
      <c r="H29" s="223" t="s">
        <v>153</v>
      </c>
      <c r="I29" s="13"/>
      <c r="J29" s="13"/>
      <c r="K29" s="76" t="s">
        <v>242</v>
      </c>
      <c r="L29" s="13"/>
      <c r="M29" s="13"/>
      <c r="N29" s="13"/>
      <c r="O29" s="13"/>
      <c r="P29" s="170" t="s">
        <v>140</v>
      </c>
      <c r="Q29" s="13"/>
      <c r="R29" s="281"/>
      <c r="S29" s="134" t="s">
        <v>243</v>
      </c>
      <c r="T29" s="192" t="s">
        <v>244</v>
      </c>
      <c r="U29" s="134" t="s">
        <v>245</v>
      </c>
      <c r="V29" s="234"/>
    </row>
    <row r="30" spans="1:22" ht="21" customHeight="1" x14ac:dyDescent="0.2">
      <c r="A30" s="6"/>
      <c r="B30" s="212"/>
      <c r="C30" s="11" t="s">
        <v>27</v>
      </c>
      <c r="D30" s="12">
        <f t="shared" si="3"/>
        <v>23</v>
      </c>
      <c r="E30" s="212"/>
      <c r="F30" s="246"/>
      <c r="G30" s="13"/>
      <c r="H30" s="218"/>
      <c r="I30" s="13"/>
      <c r="J30" s="13"/>
      <c r="K30" s="13"/>
      <c r="L30" s="13"/>
      <c r="M30" s="13"/>
      <c r="N30" s="13"/>
      <c r="O30" s="13"/>
      <c r="P30" s="170" t="s">
        <v>140</v>
      </c>
      <c r="Q30" s="13"/>
      <c r="R30" s="282"/>
      <c r="T30" s="192" t="s">
        <v>246</v>
      </c>
      <c r="U30" s="137" t="s">
        <v>247</v>
      </c>
      <c r="V30" s="234"/>
    </row>
    <row r="31" spans="1:22" ht="24" customHeight="1" x14ac:dyDescent="0.2">
      <c r="A31" s="6"/>
      <c r="B31" s="212"/>
      <c r="C31" s="15" t="s">
        <v>29</v>
      </c>
      <c r="D31" s="16">
        <f t="shared" si="3"/>
        <v>24</v>
      </c>
      <c r="E31" s="213"/>
      <c r="F31" s="17"/>
      <c r="G31" s="17"/>
      <c r="H31" s="218"/>
      <c r="I31" s="17"/>
      <c r="J31" s="76" t="s">
        <v>248</v>
      </c>
      <c r="K31" s="17"/>
      <c r="L31" s="17"/>
      <c r="M31" s="17"/>
      <c r="N31" s="17"/>
      <c r="O31" s="17"/>
      <c r="P31" s="170" t="s">
        <v>140</v>
      </c>
      <c r="Q31" s="17"/>
      <c r="R31" s="170" t="s">
        <v>249</v>
      </c>
      <c r="S31" s="188" t="s">
        <v>250</v>
      </c>
      <c r="T31" s="131" t="s">
        <v>251</v>
      </c>
      <c r="U31" s="13"/>
      <c r="V31" s="234"/>
    </row>
    <row r="32" spans="1:22" ht="13.5" customHeight="1" x14ac:dyDescent="0.2">
      <c r="A32" s="6"/>
      <c r="B32" s="212"/>
      <c r="C32" s="18" t="s">
        <v>32</v>
      </c>
      <c r="D32" s="19">
        <f>D31+1</f>
        <v>25</v>
      </c>
      <c r="E32" s="20"/>
      <c r="F32" s="244" t="s">
        <v>252</v>
      </c>
      <c r="G32" s="20"/>
      <c r="H32" s="219"/>
      <c r="I32" s="20"/>
      <c r="J32" s="20"/>
      <c r="K32" s="20"/>
      <c r="L32" s="20"/>
      <c r="M32" s="20"/>
      <c r="N32" s="21"/>
      <c r="O32" s="21"/>
      <c r="P32" s="20"/>
      <c r="Q32" s="20"/>
      <c r="R32" s="224" t="s">
        <v>252</v>
      </c>
      <c r="S32" s="20"/>
      <c r="T32" s="20"/>
      <c r="U32" s="224" t="s">
        <v>252</v>
      </c>
      <c r="V32" s="234"/>
    </row>
    <row r="33" spans="1:22" ht="13.5" customHeight="1" x14ac:dyDescent="0.2">
      <c r="A33" s="6"/>
      <c r="B33" s="213"/>
      <c r="C33" s="18" t="s">
        <v>33</v>
      </c>
      <c r="D33" s="19">
        <f>D32+1</f>
        <v>26</v>
      </c>
      <c r="E33" s="20"/>
      <c r="F33" s="246"/>
      <c r="G33" s="20"/>
      <c r="H33" s="20"/>
      <c r="I33" s="20"/>
      <c r="J33" s="20"/>
      <c r="K33" s="20"/>
      <c r="L33" s="20"/>
      <c r="M33" s="20"/>
      <c r="N33" s="21"/>
      <c r="O33" s="21"/>
      <c r="P33" s="20"/>
      <c r="Q33" s="120" t="s">
        <v>253</v>
      </c>
      <c r="R33" s="225"/>
      <c r="S33" s="120" t="s">
        <v>153</v>
      </c>
      <c r="T33" s="20"/>
      <c r="U33" s="225"/>
      <c r="V33" s="235"/>
    </row>
    <row r="34" spans="1:22" ht="13.5" customHeight="1" x14ac:dyDescent="0.2">
      <c r="A34" s="24"/>
      <c r="B34" s="208" t="s">
        <v>254</v>
      </c>
      <c r="C34" s="209"/>
      <c r="D34" s="210"/>
      <c r="E34" s="214" t="s">
        <v>2</v>
      </c>
      <c r="F34" s="215"/>
      <c r="G34" s="215"/>
      <c r="H34" s="216"/>
      <c r="I34" s="96"/>
      <c r="J34" s="98" t="s">
        <v>3</v>
      </c>
      <c r="K34" s="98" t="s">
        <v>4</v>
      </c>
      <c r="L34" s="31"/>
      <c r="M34" s="77" t="s">
        <v>5</v>
      </c>
      <c r="N34" s="77" t="s">
        <v>6</v>
      </c>
      <c r="O34" s="77" t="s">
        <v>7</v>
      </c>
      <c r="P34" s="77" t="s">
        <v>9</v>
      </c>
      <c r="Q34" s="77" t="s">
        <v>10</v>
      </c>
      <c r="R34" s="77" t="s">
        <v>11</v>
      </c>
      <c r="S34" s="77" t="s">
        <v>123</v>
      </c>
      <c r="T34" s="78" t="s">
        <v>12</v>
      </c>
      <c r="U34" s="122" t="s">
        <v>13</v>
      </c>
      <c r="V34" s="7"/>
    </row>
    <row r="35" spans="1:22" ht="19.899999999999999" customHeight="1" x14ac:dyDescent="0.2">
      <c r="A35" s="24"/>
      <c r="B35" s="211">
        <f>B27+1</f>
        <v>18</v>
      </c>
      <c r="C35" s="8" t="s">
        <v>14</v>
      </c>
      <c r="D35" s="9">
        <f>D33+1</f>
        <v>27</v>
      </c>
      <c r="E35" s="257" t="s">
        <v>152</v>
      </c>
      <c r="F35" s="217" t="s">
        <v>252</v>
      </c>
      <c r="G35" s="217" t="s">
        <v>255</v>
      </c>
      <c r="H35" s="217" t="s">
        <v>153</v>
      </c>
      <c r="I35" s="10"/>
      <c r="J35" s="10"/>
      <c r="K35" s="10"/>
      <c r="L35" s="10"/>
      <c r="M35" s="10"/>
      <c r="N35" s="127" t="s">
        <v>30</v>
      </c>
      <c r="O35" s="10"/>
      <c r="P35" s="10"/>
      <c r="Q35" s="10"/>
      <c r="R35" s="196" t="s">
        <v>256</v>
      </c>
      <c r="S35" s="10"/>
      <c r="T35" s="182" t="s">
        <v>257</v>
      </c>
      <c r="U35" s="10"/>
      <c r="V35" s="233" t="s">
        <v>258</v>
      </c>
    </row>
    <row r="36" spans="1:22" ht="19.899999999999999" customHeight="1" x14ac:dyDescent="0.2">
      <c r="A36" s="24"/>
      <c r="B36" s="212"/>
      <c r="C36" s="11" t="s">
        <v>23</v>
      </c>
      <c r="D36" s="12">
        <f t="shared" ref="D36:D37" si="4">D35+1</f>
        <v>28</v>
      </c>
      <c r="E36" s="212"/>
      <c r="F36" s="218"/>
      <c r="G36" s="218"/>
      <c r="H36" s="218"/>
      <c r="I36" s="13"/>
      <c r="J36" s="13"/>
      <c r="K36" s="13"/>
      <c r="L36" s="13"/>
      <c r="M36" s="13"/>
      <c r="N36" s="127" t="s">
        <v>30</v>
      </c>
      <c r="O36" s="13"/>
      <c r="P36" s="13"/>
      <c r="Q36" s="13"/>
      <c r="R36" s="196" t="s">
        <v>259</v>
      </c>
      <c r="S36" s="13"/>
      <c r="T36" s="128" t="s">
        <v>260</v>
      </c>
      <c r="U36" s="131" t="s">
        <v>261</v>
      </c>
      <c r="V36" s="234"/>
    </row>
    <row r="37" spans="1:22" ht="19.899999999999999" customHeight="1" x14ac:dyDescent="0.2">
      <c r="A37" s="24"/>
      <c r="B37" s="212"/>
      <c r="C37" s="11" t="s">
        <v>25</v>
      </c>
      <c r="D37" s="12">
        <f t="shared" si="4"/>
        <v>29</v>
      </c>
      <c r="E37" s="212"/>
      <c r="F37" s="229"/>
      <c r="G37" s="218"/>
      <c r="H37" s="218"/>
      <c r="I37" s="13"/>
      <c r="J37" s="13"/>
      <c r="K37" s="76" t="s">
        <v>242</v>
      </c>
      <c r="L37" s="13"/>
      <c r="M37" s="13"/>
      <c r="N37" s="127" t="s">
        <v>30</v>
      </c>
      <c r="O37" s="13"/>
      <c r="P37" s="13"/>
      <c r="Q37" s="131" t="s">
        <v>262</v>
      </c>
      <c r="R37" s="226" t="s">
        <v>30</v>
      </c>
      <c r="S37" s="131" t="s">
        <v>263</v>
      </c>
      <c r="T37" s="134" t="s">
        <v>264</v>
      </c>
      <c r="U37" s="131" t="s">
        <v>265</v>
      </c>
      <c r="V37" s="234"/>
    </row>
    <row r="38" spans="1:22" ht="19.899999999999999" customHeight="1" x14ac:dyDescent="0.2">
      <c r="A38" s="24"/>
      <c r="B38" s="212"/>
      <c r="C38" s="11" t="s">
        <v>27</v>
      </c>
      <c r="D38" s="12">
        <v>30</v>
      </c>
      <c r="E38" s="212"/>
      <c r="F38" s="13"/>
      <c r="G38" s="217" t="s">
        <v>160</v>
      </c>
      <c r="H38" s="218"/>
      <c r="I38" s="13"/>
      <c r="J38" s="13"/>
      <c r="K38" s="13"/>
      <c r="L38" s="13"/>
      <c r="M38" s="13"/>
      <c r="N38" s="127" t="s">
        <v>30</v>
      </c>
      <c r="O38" s="13"/>
      <c r="P38" s="14" t="s">
        <v>30</v>
      </c>
      <c r="Q38" s="131" t="s">
        <v>262</v>
      </c>
      <c r="R38" s="283"/>
      <c r="S38" s="131" t="s">
        <v>263</v>
      </c>
      <c r="T38" s="128" t="s">
        <v>266</v>
      </c>
      <c r="U38" s="131" t="s">
        <v>267</v>
      </c>
      <c r="V38" s="234"/>
    </row>
    <row r="39" spans="1:22" ht="19.899999999999999" customHeight="1" x14ac:dyDescent="0.2">
      <c r="A39" s="24"/>
      <c r="B39" s="212"/>
      <c r="C39" s="15" t="s">
        <v>29</v>
      </c>
      <c r="D39" s="16">
        <v>1</v>
      </c>
      <c r="E39" s="213"/>
      <c r="F39" s="17"/>
      <c r="G39" s="219"/>
      <c r="H39" s="219"/>
      <c r="I39" s="17"/>
      <c r="J39" s="17"/>
      <c r="K39" s="17"/>
      <c r="L39" s="17"/>
      <c r="M39" s="14" t="s">
        <v>28</v>
      </c>
      <c r="N39" s="14" t="s">
        <v>28</v>
      </c>
      <c r="O39" s="14" t="s">
        <v>28</v>
      </c>
      <c r="P39" s="14" t="s">
        <v>28</v>
      </c>
      <c r="Q39" s="14" t="s">
        <v>28</v>
      </c>
      <c r="R39" s="14" t="s">
        <v>28</v>
      </c>
      <c r="S39" s="14" t="s">
        <v>28</v>
      </c>
      <c r="T39" s="14" t="s">
        <v>28</v>
      </c>
      <c r="U39" s="14" t="s">
        <v>28</v>
      </c>
      <c r="V39" s="234"/>
    </row>
    <row r="40" spans="1:22" ht="13.5" customHeight="1" x14ac:dyDescent="0.2">
      <c r="A40" s="24"/>
      <c r="B40" s="212"/>
      <c r="C40" s="18" t="s">
        <v>32</v>
      </c>
      <c r="D40" s="19">
        <f>D39+1</f>
        <v>2</v>
      </c>
      <c r="E40" s="20"/>
      <c r="F40" s="20"/>
      <c r="G40" s="20"/>
      <c r="H40" s="20"/>
      <c r="I40" s="20"/>
      <c r="J40" s="20"/>
      <c r="K40" s="20"/>
      <c r="L40" s="20"/>
      <c r="M40" s="20"/>
      <c r="N40" s="21"/>
      <c r="O40" s="21"/>
      <c r="P40" s="20"/>
      <c r="Q40" s="20"/>
      <c r="R40" s="20"/>
      <c r="S40" s="20"/>
      <c r="T40" s="109"/>
      <c r="U40" s="21"/>
      <c r="V40" s="234"/>
    </row>
    <row r="41" spans="1:22" ht="13.5" customHeight="1" x14ac:dyDescent="0.2">
      <c r="A41" s="24"/>
      <c r="B41" s="213"/>
      <c r="C41" s="18" t="s">
        <v>33</v>
      </c>
      <c r="D41" s="19">
        <f>D40+1</f>
        <v>3</v>
      </c>
      <c r="E41" s="20"/>
      <c r="F41" s="20"/>
      <c r="G41" s="20"/>
      <c r="H41" s="20"/>
      <c r="I41" s="20"/>
      <c r="J41" s="20"/>
      <c r="K41" s="20"/>
      <c r="L41" s="20"/>
      <c r="M41" s="20"/>
      <c r="N41" s="21"/>
      <c r="O41" s="21"/>
      <c r="P41" s="20"/>
      <c r="Q41" s="20"/>
      <c r="R41" s="20"/>
      <c r="S41" s="20"/>
      <c r="T41" s="21"/>
      <c r="U41" s="21"/>
      <c r="V41" s="235"/>
    </row>
  </sheetData>
  <mergeCells count="52">
    <mergeCell ref="B27:B33"/>
    <mergeCell ref="E27:E31"/>
    <mergeCell ref="R32:R33"/>
    <mergeCell ref="U12:U15"/>
    <mergeCell ref="T27:T28"/>
    <mergeCell ref="U19:U20"/>
    <mergeCell ref="B18:D18"/>
    <mergeCell ref="B19:B25"/>
    <mergeCell ref="B26:D26"/>
    <mergeCell ref="V27:V33"/>
    <mergeCell ref="R27:R30"/>
    <mergeCell ref="E26:H26"/>
    <mergeCell ref="V19:V25"/>
    <mergeCell ref="T19:T22"/>
    <mergeCell ref="U32:U33"/>
    <mergeCell ref="S19:S20"/>
    <mergeCell ref="E19:E23"/>
    <mergeCell ref="F19:F23"/>
    <mergeCell ref="R22:R23"/>
    <mergeCell ref="F27:F30"/>
    <mergeCell ref="F32:F33"/>
    <mergeCell ref="H29:H32"/>
    <mergeCell ref="P19:P20"/>
    <mergeCell ref="V35:V41"/>
    <mergeCell ref="B34:D34"/>
    <mergeCell ref="B35:B41"/>
    <mergeCell ref="E35:E39"/>
    <mergeCell ref="E34:H34"/>
    <mergeCell ref="R37:R38"/>
    <mergeCell ref="F35:F37"/>
    <mergeCell ref="G35:G37"/>
    <mergeCell ref="G38:G39"/>
    <mergeCell ref="H35:H39"/>
    <mergeCell ref="B2:D2"/>
    <mergeCell ref="B3:B9"/>
    <mergeCell ref="B10:D10"/>
    <mergeCell ref="B11:B17"/>
    <mergeCell ref="E11:E15"/>
    <mergeCell ref="V3:V9"/>
    <mergeCell ref="E2:H2"/>
    <mergeCell ref="E10:H10"/>
    <mergeCell ref="E18:H18"/>
    <mergeCell ref="N4:N6"/>
    <mergeCell ref="V11:V17"/>
    <mergeCell ref="Q3:Q7"/>
    <mergeCell ref="S3:S7"/>
    <mergeCell ref="P4:P6"/>
    <mergeCell ref="M4:M6"/>
    <mergeCell ref="O4:O6"/>
    <mergeCell ref="T4:T6"/>
    <mergeCell ref="U4:U7"/>
    <mergeCell ref="R4:R6"/>
  </mergeCells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8"/>
  <sheetViews>
    <sheetView showGridLines="0" workbookViewId="0">
      <pane xSplit="4" topLeftCell="M1" activePane="topRight" state="frozen"/>
      <selection activeCell="T19" sqref="T19:T25"/>
      <selection pane="topRight" activeCell="V26" sqref="V26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2.82421875" customWidth="1"/>
    <col min="12" max="20" width="15.73828125" customWidth="1"/>
    <col min="21" max="21" width="2.95703125" customWidth="1"/>
  </cols>
  <sheetData>
    <row r="1" spans="1:21" ht="9.75" customHeight="1" x14ac:dyDescent="0.2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ht="12" customHeight="1" x14ac:dyDescent="0.2">
      <c r="A2" s="6"/>
      <c r="B2" s="208" t="s">
        <v>268</v>
      </c>
      <c r="C2" s="209"/>
      <c r="D2" s="210"/>
      <c r="E2" s="214" t="s">
        <v>2</v>
      </c>
      <c r="F2" s="215"/>
      <c r="G2" s="216"/>
      <c r="H2" s="96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7</v>
      </c>
      <c r="O2" s="77" t="s">
        <v>9</v>
      </c>
      <c r="P2" s="77" t="s">
        <v>10</v>
      </c>
      <c r="Q2" s="112" t="s">
        <v>11</v>
      </c>
      <c r="R2" s="77" t="s">
        <v>123</v>
      </c>
      <c r="S2" s="78" t="s">
        <v>12</v>
      </c>
      <c r="T2" s="122" t="s">
        <v>13</v>
      </c>
      <c r="U2" s="7"/>
    </row>
    <row r="3" spans="1:21" ht="19.899999999999999" customHeight="1" x14ac:dyDescent="0.2">
      <c r="A3" s="6"/>
      <c r="B3" s="211">
        <v>19</v>
      </c>
      <c r="C3" s="8" t="s">
        <v>14</v>
      </c>
      <c r="D3" s="12">
        <f>'Avril 2026'!D41+1</f>
        <v>4</v>
      </c>
      <c r="E3" s="220" t="s">
        <v>269</v>
      </c>
      <c r="F3" s="223" t="s">
        <v>160</v>
      </c>
      <c r="G3" s="217" t="s">
        <v>153</v>
      </c>
      <c r="H3" s="10"/>
      <c r="I3" s="10"/>
      <c r="J3" s="193" t="s">
        <v>270</v>
      </c>
      <c r="K3" s="10"/>
      <c r="L3" s="10"/>
      <c r="M3" s="10"/>
      <c r="N3" s="10"/>
      <c r="O3" s="224" t="s">
        <v>271</v>
      </c>
      <c r="P3" s="10"/>
      <c r="Q3" s="10"/>
      <c r="R3" s="13" t="s">
        <v>272</v>
      </c>
      <c r="S3" s="128" t="s">
        <v>273</v>
      </c>
      <c r="T3" s="231" t="s">
        <v>30</v>
      </c>
      <c r="U3" s="233"/>
    </row>
    <row r="4" spans="1:21" ht="19.899999999999999" customHeight="1" x14ac:dyDescent="0.2">
      <c r="A4" s="6"/>
      <c r="B4" s="212"/>
      <c r="C4" s="11" t="s">
        <v>23</v>
      </c>
      <c r="D4" s="12">
        <f t="shared" ref="D4:D6" si="0">D3+1</f>
        <v>5</v>
      </c>
      <c r="E4" s="221"/>
      <c r="F4" s="219"/>
      <c r="G4" s="218"/>
      <c r="H4" s="13"/>
      <c r="I4" s="13"/>
      <c r="J4" s="10"/>
      <c r="K4" s="13"/>
      <c r="L4" s="13"/>
      <c r="M4" s="13"/>
      <c r="N4" s="13"/>
      <c r="O4" s="225"/>
      <c r="P4" s="13"/>
      <c r="Q4" s="128" t="s">
        <v>274</v>
      </c>
      <c r="R4" s="200" t="s">
        <v>275</v>
      </c>
      <c r="S4" s="134" t="s">
        <v>276</v>
      </c>
      <c r="T4" s="232"/>
      <c r="U4" s="234"/>
    </row>
    <row r="5" spans="1:21" ht="19.899999999999999" customHeight="1" x14ac:dyDescent="0.2">
      <c r="A5" s="6"/>
      <c r="B5" s="212"/>
      <c r="C5" s="11" t="s">
        <v>25</v>
      </c>
      <c r="D5" s="12">
        <f t="shared" si="0"/>
        <v>6</v>
      </c>
      <c r="E5" s="221"/>
      <c r="F5" s="13"/>
      <c r="G5" s="218"/>
      <c r="H5" s="13"/>
      <c r="I5" s="13"/>
      <c r="J5" s="76" t="s">
        <v>242</v>
      </c>
      <c r="K5" s="13"/>
      <c r="L5" s="13"/>
      <c r="M5" s="13"/>
      <c r="N5" s="13"/>
      <c r="O5" s="13"/>
      <c r="P5" s="13"/>
      <c r="Q5" s="166" t="s">
        <v>277</v>
      </c>
      <c r="R5" s="13"/>
      <c r="S5" s="137" t="s">
        <v>278</v>
      </c>
      <c r="T5" s="166" t="s">
        <v>279</v>
      </c>
      <c r="U5" s="234"/>
    </row>
    <row r="6" spans="1:21" ht="19.899999999999999" customHeight="1" x14ac:dyDescent="0.2">
      <c r="A6" s="6"/>
      <c r="B6" s="212"/>
      <c r="C6" s="11" t="s">
        <v>27</v>
      </c>
      <c r="D6" s="12">
        <f t="shared" si="0"/>
        <v>7</v>
      </c>
      <c r="E6" s="221"/>
      <c r="F6" s="13"/>
      <c r="G6" s="218"/>
      <c r="H6" s="13"/>
      <c r="I6" s="13"/>
      <c r="J6" s="13"/>
      <c r="K6" s="13"/>
      <c r="L6" s="13"/>
      <c r="M6" s="13"/>
      <c r="N6" s="13"/>
      <c r="O6" s="13"/>
      <c r="P6" s="13"/>
      <c r="Q6" s="158" t="s">
        <v>446</v>
      </c>
      <c r="R6" s="99" t="s">
        <v>30</v>
      </c>
      <c r="S6" s="128" t="s">
        <v>280</v>
      </c>
      <c r="T6" s="99" t="s">
        <v>30</v>
      </c>
      <c r="U6" s="234"/>
    </row>
    <row r="7" spans="1:21" ht="19.899999999999999" customHeight="1" x14ac:dyDescent="0.2">
      <c r="A7" s="6"/>
      <c r="B7" s="212"/>
      <c r="C7" s="15" t="s">
        <v>29</v>
      </c>
      <c r="D7" s="16">
        <f t="shared" ref="D7" si="1">D6+1</f>
        <v>8</v>
      </c>
      <c r="E7" s="222"/>
      <c r="F7" s="17"/>
      <c r="G7" s="219"/>
      <c r="H7" s="17"/>
      <c r="I7" s="17"/>
      <c r="J7" s="17"/>
      <c r="K7" s="17"/>
      <c r="L7" s="14" t="s">
        <v>28</v>
      </c>
      <c r="M7" s="14" t="s">
        <v>28</v>
      </c>
      <c r="N7" s="14" t="s">
        <v>28</v>
      </c>
      <c r="O7" s="14" t="s">
        <v>28</v>
      </c>
      <c r="P7" s="14" t="s">
        <v>28</v>
      </c>
      <c r="Q7" s="14" t="s">
        <v>28</v>
      </c>
      <c r="R7" s="14" t="s">
        <v>28</v>
      </c>
      <c r="S7" s="14" t="s">
        <v>28</v>
      </c>
      <c r="T7" s="14" t="s">
        <v>28</v>
      </c>
      <c r="U7" s="234"/>
    </row>
    <row r="8" spans="1:21" ht="13.5" customHeight="1" x14ac:dyDescent="0.2">
      <c r="A8" s="6"/>
      <c r="B8" s="212"/>
      <c r="C8" s="18" t="s">
        <v>32</v>
      </c>
      <c r="D8" s="23">
        <v>9</v>
      </c>
      <c r="E8" s="20"/>
      <c r="F8" s="20"/>
      <c r="G8" s="20"/>
      <c r="H8" s="20"/>
      <c r="I8" s="20"/>
      <c r="J8" s="20"/>
      <c r="K8" s="20"/>
      <c r="L8" s="20"/>
      <c r="M8" s="21"/>
      <c r="N8" s="21"/>
      <c r="O8" s="20"/>
      <c r="P8" s="20"/>
      <c r="Q8" s="20"/>
      <c r="R8" s="20"/>
      <c r="S8" s="21"/>
      <c r="T8" s="21"/>
      <c r="U8" s="234"/>
    </row>
    <row r="9" spans="1:21" ht="13.5" customHeight="1" x14ac:dyDescent="0.2">
      <c r="A9" s="6"/>
      <c r="B9" s="213"/>
      <c r="C9" s="18" t="s">
        <v>33</v>
      </c>
      <c r="D9" s="23">
        <v>10</v>
      </c>
      <c r="E9" s="20"/>
      <c r="F9" s="20"/>
      <c r="G9" s="20"/>
      <c r="H9" s="20"/>
      <c r="I9" s="20"/>
      <c r="J9" s="20"/>
      <c r="K9" s="20"/>
      <c r="L9" s="20"/>
      <c r="M9" s="21"/>
      <c r="N9" s="21"/>
      <c r="O9" s="20"/>
      <c r="P9" s="20"/>
      <c r="Q9" s="20"/>
      <c r="R9" s="20"/>
      <c r="S9" s="21"/>
      <c r="T9" s="21"/>
      <c r="U9" s="235"/>
    </row>
    <row r="10" spans="1:21" ht="12" customHeight="1" x14ac:dyDescent="0.2">
      <c r="A10" s="6"/>
      <c r="B10" s="208" t="s">
        <v>268</v>
      </c>
      <c r="C10" s="209"/>
      <c r="D10" s="210"/>
      <c r="E10" s="214" t="s">
        <v>2</v>
      </c>
      <c r="F10" s="215"/>
      <c r="G10" s="216"/>
      <c r="H10" s="96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7</v>
      </c>
      <c r="O10" s="77" t="s">
        <v>9</v>
      </c>
      <c r="P10" s="77" t="s">
        <v>10</v>
      </c>
      <c r="Q10" s="77" t="s">
        <v>11</v>
      </c>
      <c r="R10" s="77" t="s">
        <v>123</v>
      </c>
      <c r="S10" s="78" t="s">
        <v>12</v>
      </c>
      <c r="T10" s="178" t="s">
        <v>13</v>
      </c>
      <c r="U10" s="7"/>
    </row>
    <row r="11" spans="1:21" ht="19.899999999999999" customHeight="1" x14ac:dyDescent="0.2">
      <c r="A11" s="6"/>
      <c r="B11" s="211">
        <f>B3+1</f>
        <v>20</v>
      </c>
      <c r="C11" s="8" t="s">
        <v>14</v>
      </c>
      <c r="D11" s="9">
        <f>D9+1</f>
        <v>11</v>
      </c>
      <c r="E11" s="220" t="s">
        <v>269</v>
      </c>
      <c r="F11" s="10"/>
      <c r="G11" s="217" t="s">
        <v>153</v>
      </c>
      <c r="H11" s="10"/>
      <c r="I11" s="10"/>
      <c r="J11" s="193" t="s">
        <v>281</v>
      </c>
      <c r="K11" s="10"/>
      <c r="L11" s="10"/>
      <c r="M11" s="10"/>
      <c r="N11" s="10"/>
      <c r="O11" s="10"/>
      <c r="P11" s="10"/>
      <c r="Q11" s="10"/>
      <c r="R11" s="10" t="s">
        <v>282</v>
      </c>
      <c r="S11" s="166" t="s">
        <v>283</v>
      </c>
      <c r="T11" s="202" t="s">
        <v>284</v>
      </c>
      <c r="U11" s="233"/>
    </row>
    <row r="12" spans="1:21" ht="19.899999999999999" customHeight="1" x14ac:dyDescent="0.2">
      <c r="A12" s="6"/>
      <c r="B12" s="212"/>
      <c r="C12" s="11" t="s">
        <v>23</v>
      </c>
      <c r="D12" s="12">
        <f t="shared" ref="D12:D15" si="2">D11+1</f>
        <v>12</v>
      </c>
      <c r="E12" s="221"/>
      <c r="F12" s="13"/>
      <c r="G12" s="218"/>
      <c r="H12" s="13"/>
      <c r="I12" s="13"/>
      <c r="J12" s="10"/>
      <c r="K12" s="13"/>
      <c r="L12" s="13"/>
      <c r="M12" s="13"/>
      <c r="N12" s="13"/>
      <c r="O12" s="13"/>
      <c r="P12" s="13"/>
      <c r="Q12" s="128" t="s">
        <v>285</v>
      </c>
      <c r="R12" s="128" t="s">
        <v>285</v>
      </c>
      <c r="S12" s="166" t="s">
        <v>286</v>
      </c>
      <c r="T12" s="204" t="s">
        <v>287</v>
      </c>
      <c r="U12" s="234"/>
    </row>
    <row r="13" spans="1:21" ht="24.75" customHeight="1" x14ac:dyDescent="0.2">
      <c r="A13" s="6"/>
      <c r="B13" s="212"/>
      <c r="C13" s="11" t="s">
        <v>25</v>
      </c>
      <c r="D13" s="12">
        <f t="shared" si="2"/>
        <v>13</v>
      </c>
      <c r="E13" s="221"/>
      <c r="F13" s="13"/>
      <c r="G13" s="229"/>
      <c r="H13" s="13"/>
      <c r="I13" s="13"/>
      <c r="J13" s="13"/>
      <c r="K13" s="13"/>
      <c r="L13" s="13"/>
      <c r="M13" s="13"/>
      <c r="N13" s="13"/>
      <c r="O13" s="13"/>
      <c r="P13" s="13"/>
      <c r="Q13" s="166" t="s">
        <v>288</v>
      </c>
      <c r="R13" s="166" t="s">
        <v>289</v>
      </c>
      <c r="S13" s="174" t="s">
        <v>17</v>
      </c>
      <c r="T13" s="203" t="s">
        <v>437</v>
      </c>
      <c r="U13" s="234"/>
    </row>
    <row r="14" spans="1:21" ht="19.899999999999999" customHeight="1" x14ac:dyDescent="0.2">
      <c r="A14" s="6"/>
      <c r="B14" s="212"/>
      <c r="C14" s="11" t="s">
        <v>27</v>
      </c>
      <c r="D14" s="12">
        <f t="shared" si="2"/>
        <v>14</v>
      </c>
      <c r="E14" s="221"/>
      <c r="F14" s="13"/>
      <c r="G14" s="13"/>
      <c r="H14" s="13"/>
      <c r="I14" s="13"/>
      <c r="J14" s="13"/>
      <c r="K14" s="13"/>
      <c r="L14" s="14" t="s">
        <v>28</v>
      </c>
      <c r="M14" s="14" t="s">
        <v>28</v>
      </c>
      <c r="N14" s="14" t="s">
        <v>28</v>
      </c>
      <c r="O14" s="14" t="s">
        <v>28</v>
      </c>
      <c r="P14" s="14" t="s">
        <v>28</v>
      </c>
      <c r="Q14" s="14" t="s">
        <v>28</v>
      </c>
      <c r="R14" s="14" t="s">
        <v>28</v>
      </c>
      <c r="S14" s="14" t="s">
        <v>28</v>
      </c>
      <c r="T14" s="14" t="s">
        <v>28</v>
      </c>
      <c r="U14" s="234"/>
    </row>
    <row r="15" spans="1:21" ht="19.899999999999999" customHeight="1" x14ac:dyDescent="0.2">
      <c r="A15" s="6"/>
      <c r="B15" s="212"/>
      <c r="C15" s="15" t="s">
        <v>29</v>
      </c>
      <c r="D15" s="16">
        <f t="shared" si="2"/>
        <v>15</v>
      </c>
      <c r="E15" s="222"/>
      <c r="F15" s="17"/>
      <c r="G15" s="17"/>
      <c r="H15" s="17"/>
      <c r="I15" s="17"/>
      <c r="J15" s="17"/>
      <c r="K15" s="17"/>
      <c r="L15" s="14" t="s">
        <v>30</v>
      </c>
      <c r="M15" s="14" t="s">
        <v>30</v>
      </c>
      <c r="N15" s="14" t="s">
        <v>30</v>
      </c>
      <c r="O15" s="14" t="s">
        <v>30</v>
      </c>
      <c r="P15" s="17"/>
      <c r="Q15" s="14" t="s">
        <v>290</v>
      </c>
      <c r="R15" s="132" t="s">
        <v>248</v>
      </c>
      <c r="S15" s="195" t="s">
        <v>291</v>
      </c>
      <c r="T15" s="17"/>
      <c r="U15" s="234"/>
    </row>
    <row r="16" spans="1:21" ht="13.5" customHeight="1" x14ac:dyDescent="0.2">
      <c r="A16" s="6"/>
      <c r="B16" s="212"/>
      <c r="C16" s="18" t="s">
        <v>32</v>
      </c>
      <c r="D16" s="9">
        <v>16</v>
      </c>
      <c r="E16" s="20"/>
      <c r="F16" s="20"/>
      <c r="G16" s="20"/>
      <c r="H16" s="20"/>
      <c r="I16" s="20"/>
      <c r="J16" s="20"/>
      <c r="K16" s="20"/>
      <c r="L16" s="20"/>
      <c r="M16" s="21"/>
      <c r="N16" s="21"/>
      <c r="O16" s="20"/>
      <c r="P16" s="20"/>
      <c r="Q16" s="20" t="s">
        <v>292</v>
      </c>
      <c r="R16" s="132" t="s">
        <v>248</v>
      </c>
      <c r="S16" s="21"/>
      <c r="T16" s="21"/>
      <c r="U16" s="234"/>
    </row>
    <row r="17" spans="1:21" ht="15.75" customHeight="1" x14ac:dyDescent="0.2">
      <c r="A17" s="6"/>
      <c r="B17" s="213"/>
      <c r="C17" s="18" t="s">
        <v>33</v>
      </c>
      <c r="D17" s="9">
        <v>17</v>
      </c>
      <c r="E17" s="20"/>
      <c r="F17" s="20"/>
      <c r="G17" s="20"/>
      <c r="H17" s="20"/>
      <c r="I17" s="20"/>
      <c r="J17" s="20"/>
      <c r="K17" s="20"/>
      <c r="L17" s="20"/>
      <c r="M17" s="21"/>
      <c r="N17" s="21"/>
      <c r="O17" s="20"/>
      <c r="P17" s="20"/>
      <c r="Q17" s="20" t="s">
        <v>292</v>
      </c>
      <c r="R17" s="20"/>
      <c r="S17" s="21"/>
      <c r="T17" s="21"/>
      <c r="U17" s="235"/>
    </row>
    <row r="18" spans="1:21" ht="12" customHeight="1" x14ac:dyDescent="0.2">
      <c r="A18" s="6"/>
      <c r="B18" s="208" t="s">
        <v>268</v>
      </c>
      <c r="C18" s="209"/>
      <c r="D18" s="210"/>
      <c r="E18" s="214" t="s">
        <v>2</v>
      </c>
      <c r="F18" s="215"/>
      <c r="G18" s="216"/>
      <c r="H18" s="96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7</v>
      </c>
      <c r="O18" s="77" t="s">
        <v>9</v>
      </c>
      <c r="P18" s="77" t="s">
        <v>10</v>
      </c>
      <c r="Q18" s="77" t="s">
        <v>11</v>
      </c>
      <c r="R18" s="79" t="s">
        <v>123</v>
      </c>
      <c r="S18" s="77" t="s">
        <v>12</v>
      </c>
      <c r="T18" s="122" t="s">
        <v>13</v>
      </c>
      <c r="U18" s="7"/>
    </row>
    <row r="19" spans="1:21" ht="19.899999999999999" customHeight="1" x14ac:dyDescent="0.2">
      <c r="A19" s="6"/>
      <c r="B19" s="211">
        <f>B11+1</f>
        <v>21</v>
      </c>
      <c r="C19" s="8" t="s">
        <v>14</v>
      </c>
      <c r="D19" s="9">
        <f>D17+1</f>
        <v>18</v>
      </c>
      <c r="E19" s="217" t="s">
        <v>293</v>
      </c>
      <c r="F19" s="223" t="s">
        <v>294</v>
      </c>
      <c r="G19" s="10"/>
      <c r="H19" s="10"/>
      <c r="I19" s="193" t="s">
        <v>295</v>
      </c>
      <c r="J19" s="193" t="s">
        <v>281</v>
      </c>
      <c r="K19" s="10"/>
      <c r="L19" s="226" t="s">
        <v>140</v>
      </c>
      <c r="M19" s="10"/>
      <c r="N19" s="10"/>
      <c r="O19" s="131" t="s">
        <v>296</v>
      </c>
      <c r="P19" s="13"/>
      <c r="Q19" s="99" t="s">
        <v>30</v>
      </c>
      <c r="R19" s="131" t="s">
        <v>297</v>
      </c>
      <c r="S19" s="183" t="s">
        <v>298</v>
      </c>
      <c r="T19" s="131" t="s">
        <v>299</v>
      </c>
      <c r="U19" s="233" t="s">
        <v>211</v>
      </c>
    </row>
    <row r="20" spans="1:21" ht="19.899999999999999" customHeight="1" x14ac:dyDescent="0.2">
      <c r="A20" s="6"/>
      <c r="B20" s="212"/>
      <c r="C20" s="11" t="s">
        <v>23</v>
      </c>
      <c r="D20" s="12">
        <f t="shared" ref="D20:D23" si="3">D19+1</f>
        <v>19</v>
      </c>
      <c r="E20" s="218"/>
      <c r="F20" s="219"/>
      <c r="G20" s="13"/>
      <c r="H20" s="13"/>
      <c r="I20" s="13"/>
      <c r="J20" s="193" t="s">
        <v>300</v>
      </c>
      <c r="K20" s="13"/>
      <c r="L20" s="227"/>
      <c r="N20" s="13"/>
      <c r="O20" s="131" t="s">
        <v>444</v>
      </c>
      <c r="P20" s="13"/>
      <c r="Q20" s="166" t="s">
        <v>301</v>
      </c>
      <c r="R20" s="131" t="s">
        <v>302</v>
      </c>
      <c r="S20" s="134" t="s">
        <v>303</v>
      </c>
      <c r="T20" s="128" t="s">
        <v>304</v>
      </c>
      <c r="U20" s="234"/>
    </row>
    <row r="21" spans="1:21" ht="19.899999999999999" customHeight="1" x14ac:dyDescent="0.2">
      <c r="A21" s="6"/>
      <c r="B21" s="212"/>
      <c r="C21" s="11" t="s">
        <v>25</v>
      </c>
      <c r="D21" s="12">
        <f t="shared" si="3"/>
        <v>20</v>
      </c>
      <c r="E21" s="218"/>
      <c r="F21" s="13"/>
      <c r="G21" s="13"/>
      <c r="H21" s="13"/>
      <c r="I21" s="13"/>
      <c r="J21" s="13"/>
      <c r="K21" s="13"/>
      <c r="L21" s="227"/>
      <c r="M21" s="140" t="s">
        <v>305</v>
      </c>
      <c r="N21" s="13"/>
      <c r="O21" s="134" t="s">
        <v>306</v>
      </c>
      <c r="P21" s="13"/>
      <c r="Q21" s="158" t="s">
        <v>447</v>
      </c>
      <c r="R21" s="134" t="s">
        <v>307</v>
      </c>
      <c r="S21" s="128" t="s">
        <v>235</v>
      </c>
      <c r="T21" s="128" t="s">
        <v>308</v>
      </c>
      <c r="U21" s="234"/>
    </row>
    <row r="22" spans="1:21" ht="19.899999999999999" customHeight="1" x14ac:dyDescent="0.2">
      <c r="A22" s="6"/>
      <c r="B22" s="212"/>
      <c r="C22" s="11" t="s">
        <v>27</v>
      </c>
      <c r="D22" s="12">
        <f t="shared" si="3"/>
        <v>21</v>
      </c>
      <c r="E22" s="218"/>
      <c r="F22" s="13"/>
      <c r="G22" s="13"/>
      <c r="H22" s="13"/>
      <c r="I22" s="13"/>
      <c r="J22" s="13"/>
      <c r="K22" s="13"/>
      <c r="L22" s="227"/>
      <c r="M22" s="13"/>
      <c r="N22" s="13"/>
      <c r="O22" s="13"/>
      <c r="P22" s="13"/>
      <c r="Q22" s="230" t="s">
        <v>309</v>
      </c>
      <c r="R22" s="13" t="s">
        <v>310</v>
      </c>
      <c r="S22" s="166" t="s">
        <v>311</v>
      </c>
      <c r="T22" s="128" t="s">
        <v>312</v>
      </c>
      <c r="U22" s="234"/>
    </row>
    <row r="23" spans="1:21" ht="19.899999999999999" customHeight="1" x14ac:dyDescent="0.2">
      <c r="A23" s="6"/>
      <c r="B23" s="212"/>
      <c r="C23" s="15" t="s">
        <v>29</v>
      </c>
      <c r="D23" s="16">
        <f t="shared" si="3"/>
        <v>22</v>
      </c>
      <c r="E23" s="219"/>
      <c r="F23" s="17"/>
      <c r="G23" s="17"/>
      <c r="H23" s="17"/>
      <c r="I23" s="17"/>
      <c r="J23" s="17"/>
      <c r="K23" s="17"/>
      <c r="L23" s="228"/>
      <c r="M23" s="17"/>
      <c r="N23" s="17"/>
      <c r="O23" s="14" t="s">
        <v>30</v>
      </c>
      <c r="P23" s="17"/>
      <c r="Q23" s="225"/>
      <c r="R23" s="132" t="s">
        <v>248</v>
      </c>
      <c r="S23" s="129" t="s">
        <v>451</v>
      </c>
      <c r="T23" s="17"/>
      <c r="U23" s="234"/>
    </row>
    <row r="24" spans="1:21" ht="13.5" customHeight="1" x14ac:dyDescent="0.2">
      <c r="A24" s="6"/>
      <c r="B24" s="212"/>
      <c r="C24" s="18" t="s">
        <v>32</v>
      </c>
      <c r="D24" s="9">
        <f>D23+1</f>
        <v>23</v>
      </c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0"/>
      <c r="P24" s="21"/>
      <c r="Q24" s="21"/>
      <c r="R24" s="20"/>
      <c r="S24" s="21"/>
      <c r="T24" s="21"/>
      <c r="U24" s="234"/>
    </row>
    <row r="25" spans="1:21" ht="13.5" customHeight="1" x14ac:dyDescent="0.2">
      <c r="A25" s="6"/>
      <c r="B25" s="213"/>
      <c r="C25" s="18" t="s">
        <v>33</v>
      </c>
      <c r="D25" s="9">
        <f>D24+1</f>
        <v>24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0"/>
      <c r="P25" s="21"/>
      <c r="Q25" s="21"/>
      <c r="R25" s="20"/>
      <c r="S25" s="123"/>
      <c r="T25" s="123"/>
      <c r="U25" s="235"/>
    </row>
    <row r="26" spans="1:21" ht="12" customHeight="1" x14ac:dyDescent="0.2">
      <c r="A26" s="6"/>
      <c r="B26" s="208" t="s">
        <v>268</v>
      </c>
      <c r="C26" s="209"/>
      <c r="D26" s="210"/>
      <c r="E26" s="214" t="s">
        <v>2</v>
      </c>
      <c r="F26" s="215"/>
      <c r="G26" s="216"/>
      <c r="H26" s="96"/>
      <c r="I26" s="98" t="s">
        <v>3</v>
      </c>
      <c r="J26" s="98" t="s">
        <v>4</v>
      </c>
      <c r="K26" s="31"/>
      <c r="L26" s="77" t="s">
        <v>5</v>
      </c>
      <c r="M26" s="77" t="s">
        <v>6</v>
      </c>
      <c r="N26" s="77" t="s">
        <v>7</v>
      </c>
      <c r="O26" s="77" t="s">
        <v>9</v>
      </c>
      <c r="P26" s="77" t="s">
        <v>10</v>
      </c>
      <c r="Q26" s="77" t="s">
        <v>11</v>
      </c>
      <c r="R26" s="77" t="s">
        <v>123</v>
      </c>
      <c r="S26" s="100" t="s">
        <v>12</v>
      </c>
      <c r="T26" s="79" t="s">
        <v>13</v>
      </c>
      <c r="U26" s="7"/>
    </row>
    <row r="27" spans="1:21" ht="19.899999999999999" customHeight="1" x14ac:dyDescent="0.2">
      <c r="A27" s="6"/>
      <c r="B27" s="211">
        <f>B19+1</f>
        <v>22</v>
      </c>
      <c r="C27" s="8" t="s">
        <v>14</v>
      </c>
      <c r="D27" s="9">
        <f>D25+1</f>
        <v>25</v>
      </c>
      <c r="E27" s="10"/>
      <c r="F27" s="10"/>
      <c r="G27" s="10"/>
      <c r="H27" s="10"/>
      <c r="I27" s="10"/>
      <c r="J27" s="10"/>
      <c r="K27" s="10"/>
      <c r="L27" s="226" t="s">
        <v>140</v>
      </c>
      <c r="M27" s="14" t="s">
        <v>28</v>
      </c>
      <c r="N27" s="14" t="s">
        <v>28</v>
      </c>
      <c r="O27" s="14" t="s">
        <v>28</v>
      </c>
      <c r="P27" s="14" t="s">
        <v>28</v>
      </c>
      <c r="Q27" s="14" t="s">
        <v>28</v>
      </c>
      <c r="R27" s="14" t="s">
        <v>28</v>
      </c>
      <c r="S27" s="99" t="s">
        <v>28</v>
      </c>
      <c r="T27" s="14" t="s">
        <v>28</v>
      </c>
      <c r="U27" s="233" t="s">
        <v>78</v>
      </c>
    </row>
    <row r="28" spans="1:21" ht="19.899999999999999" customHeight="1" x14ac:dyDescent="0.2">
      <c r="A28" s="6"/>
      <c r="B28" s="212"/>
      <c r="C28" s="11" t="s">
        <v>23</v>
      </c>
      <c r="D28" s="12">
        <f t="shared" ref="D28:D31" si="4">D27+1</f>
        <v>26</v>
      </c>
      <c r="E28" s="13"/>
      <c r="F28" s="13"/>
      <c r="G28" s="13"/>
      <c r="H28" s="13"/>
      <c r="I28" s="13"/>
      <c r="J28" s="193" t="s">
        <v>281</v>
      </c>
      <c r="K28" s="13"/>
      <c r="L28" s="227"/>
      <c r="M28" s="140" t="s">
        <v>186</v>
      </c>
      <c r="N28" s="13"/>
      <c r="O28" s="14" t="s">
        <v>30</v>
      </c>
      <c r="P28" s="13"/>
      <c r="Q28" s="14" t="s">
        <v>290</v>
      </c>
      <c r="R28" s="205" t="s">
        <v>435</v>
      </c>
      <c r="S28" s="129" t="s">
        <v>313</v>
      </c>
      <c r="T28" s="134" t="s">
        <v>314</v>
      </c>
      <c r="U28" s="234"/>
    </row>
    <row r="29" spans="1:21" ht="19.899999999999999" customHeight="1" x14ac:dyDescent="0.2">
      <c r="A29" s="6"/>
      <c r="B29" s="212"/>
      <c r="C29" s="11" t="s">
        <v>25</v>
      </c>
      <c r="D29" s="12">
        <f t="shared" si="4"/>
        <v>27</v>
      </c>
      <c r="E29" s="13"/>
      <c r="F29" s="13"/>
      <c r="G29" s="13"/>
      <c r="H29" s="13"/>
      <c r="I29" s="13"/>
      <c r="J29" s="193" t="s">
        <v>253</v>
      </c>
      <c r="K29" s="13"/>
      <c r="L29" s="227"/>
      <c r="M29" s="13"/>
      <c r="N29" s="13"/>
      <c r="O29" s="131" t="s">
        <v>443</v>
      </c>
      <c r="P29" s="13"/>
      <c r="Q29" s="166" t="s">
        <v>315</v>
      </c>
      <c r="R29" s="166" t="s">
        <v>316</v>
      </c>
      <c r="S29" s="174" t="s">
        <v>454</v>
      </c>
      <c r="T29" s="131" t="s">
        <v>448</v>
      </c>
      <c r="U29" s="234"/>
    </row>
    <row r="30" spans="1:21" ht="19.899999999999999" customHeight="1" x14ac:dyDescent="0.2">
      <c r="A30" s="6"/>
      <c r="B30" s="212"/>
      <c r="C30" s="11" t="s">
        <v>27</v>
      </c>
      <c r="D30" s="12">
        <f t="shared" si="4"/>
        <v>28</v>
      </c>
      <c r="E30" s="223" t="s">
        <v>293</v>
      </c>
      <c r="F30" s="13"/>
      <c r="G30" s="13"/>
      <c r="H30" s="13"/>
      <c r="I30" s="13"/>
      <c r="J30" s="13"/>
      <c r="K30" s="13"/>
      <c r="L30" s="227"/>
      <c r="M30" s="13"/>
      <c r="N30" s="13"/>
      <c r="O30" s="131" t="s">
        <v>453</v>
      </c>
      <c r="P30" s="13"/>
      <c r="Q30" s="166" t="s">
        <v>317</v>
      </c>
      <c r="R30" s="13"/>
      <c r="S30" s="128" t="s">
        <v>318</v>
      </c>
      <c r="T30" s="231" t="s">
        <v>30</v>
      </c>
      <c r="U30" s="234"/>
    </row>
    <row r="31" spans="1:21" ht="19.899999999999999" customHeight="1" x14ac:dyDescent="0.2">
      <c r="A31" s="6"/>
      <c r="B31" s="212"/>
      <c r="C31" s="15" t="s">
        <v>29</v>
      </c>
      <c r="D31" s="16">
        <f t="shared" si="4"/>
        <v>29</v>
      </c>
      <c r="E31" s="219"/>
      <c r="F31" s="17"/>
      <c r="G31" s="17"/>
      <c r="H31" s="17"/>
      <c r="I31" s="17"/>
      <c r="J31" s="17"/>
      <c r="K31" s="17"/>
      <c r="L31" s="228"/>
      <c r="M31" s="17"/>
      <c r="N31" s="17"/>
      <c r="O31" s="17"/>
      <c r="P31" s="13"/>
      <c r="Q31" s="14" t="s">
        <v>291</v>
      </c>
      <c r="R31" s="207" t="s">
        <v>435</v>
      </c>
      <c r="S31" s="195" t="s">
        <v>291</v>
      </c>
      <c r="T31" s="232"/>
      <c r="U31" s="234"/>
    </row>
    <row r="32" spans="1:21" ht="13.5" customHeight="1" x14ac:dyDescent="0.2">
      <c r="A32" s="6"/>
      <c r="B32" s="212"/>
      <c r="C32" s="18" t="s">
        <v>32</v>
      </c>
      <c r="D32" s="19">
        <f>D31+1</f>
        <v>30</v>
      </c>
      <c r="E32" s="20"/>
      <c r="F32" s="20"/>
      <c r="G32" s="20"/>
      <c r="H32" s="20"/>
      <c r="I32" s="20"/>
      <c r="J32" s="20"/>
      <c r="K32" s="20"/>
      <c r="L32" s="20"/>
      <c r="M32" s="21"/>
      <c r="N32" s="21"/>
      <c r="O32" s="20"/>
      <c r="P32" s="20"/>
      <c r="Q32" s="224" t="s">
        <v>319</v>
      </c>
      <c r="R32" s="20"/>
      <c r="S32" s="21"/>
      <c r="T32" s="21"/>
      <c r="U32" s="234"/>
    </row>
    <row r="33" spans="1:21" ht="13.5" customHeight="1" x14ac:dyDescent="0.2">
      <c r="A33" s="6"/>
      <c r="B33" s="213"/>
      <c r="C33" s="18" t="s">
        <v>33</v>
      </c>
      <c r="D33" s="19">
        <f>D32+1</f>
        <v>31</v>
      </c>
      <c r="E33" s="20"/>
      <c r="F33" s="20"/>
      <c r="G33" s="20"/>
      <c r="H33" s="20"/>
      <c r="I33" s="20"/>
      <c r="J33" s="20"/>
      <c r="K33" s="20"/>
      <c r="L33" s="20"/>
      <c r="M33" s="21"/>
      <c r="N33" s="21"/>
      <c r="O33" s="20"/>
      <c r="P33" s="120" t="s">
        <v>320</v>
      </c>
      <c r="Q33" s="225"/>
      <c r="R33" s="20"/>
      <c r="S33" s="21"/>
      <c r="T33" s="21"/>
      <c r="U33" s="235"/>
    </row>
    <row r="34" spans="1:21" ht="19.899999999999999" customHeight="1" x14ac:dyDescent="0.2"/>
    <row r="35" spans="1:21" ht="19.899999999999999" customHeight="1" x14ac:dyDescent="0.2"/>
    <row r="36" spans="1:21" ht="19.899999999999999" customHeight="1" x14ac:dyDescent="0.2"/>
    <row r="37" spans="1:21" ht="19.899999999999999" customHeight="1" x14ac:dyDescent="0.2"/>
    <row r="38" spans="1:21" ht="19.899999999999999" customHeight="1" x14ac:dyDescent="0.2"/>
  </sheetData>
  <autoFilter ref="L2:T7" xr:uid="{00000000-0001-0000-0400-000000000000}"/>
  <mergeCells count="31">
    <mergeCell ref="O3:O4"/>
    <mergeCell ref="T3:T4"/>
    <mergeCell ref="U3:U9"/>
    <mergeCell ref="U11:U17"/>
    <mergeCell ref="U27:U33"/>
    <mergeCell ref="U19:U25"/>
    <mergeCell ref="T30:T31"/>
    <mergeCell ref="E10:G10"/>
    <mergeCell ref="E18:G18"/>
    <mergeCell ref="E26:G26"/>
    <mergeCell ref="Q32:Q33"/>
    <mergeCell ref="F19:F20"/>
    <mergeCell ref="E19:E23"/>
    <mergeCell ref="E11:E15"/>
    <mergeCell ref="L19:L23"/>
    <mergeCell ref="G11:G13"/>
    <mergeCell ref="E30:E31"/>
    <mergeCell ref="L27:L31"/>
    <mergeCell ref="Q22:Q23"/>
    <mergeCell ref="B19:B25"/>
    <mergeCell ref="B27:B33"/>
    <mergeCell ref="B10:D10"/>
    <mergeCell ref="B11:B17"/>
    <mergeCell ref="B18:D18"/>
    <mergeCell ref="B26:D26"/>
    <mergeCell ref="B2:D2"/>
    <mergeCell ref="B3:B9"/>
    <mergeCell ref="E2:G2"/>
    <mergeCell ref="G3:G7"/>
    <mergeCell ref="E3:E7"/>
    <mergeCell ref="F3:F4"/>
  </mergeCells>
  <pageMargins left="0.7" right="0.7" top="0.75" bottom="0.75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3"/>
  <sheetViews>
    <sheetView showGridLines="0" tabSelected="1" workbookViewId="0">
      <pane xSplit="4" topLeftCell="P1" activePane="topRight" state="frozen"/>
      <selection activeCell="T19" sqref="T19:T25"/>
      <selection pane="topRight" activeCell="R6" sqref="R6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0.40234375" customWidth="1"/>
    <col min="12" max="20" width="15.73828125" customWidth="1"/>
    <col min="21" max="21" width="2.95703125" customWidth="1"/>
  </cols>
  <sheetData>
    <row r="1" spans="1:21" ht="9.75" customHeight="1" x14ac:dyDescent="0.2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ht="12" customHeight="1" x14ac:dyDescent="0.2">
      <c r="A2" s="6"/>
      <c r="B2" s="208" t="s">
        <v>321</v>
      </c>
      <c r="C2" s="209"/>
      <c r="D2" s="210"/>
      <c r="E2" s="214" t="s">
        <v>2</v>
      </c>
      <c r="F2" s="215"/>
      <c r="G2" s="216"/>
      <c r="H2" s="97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7</v>
      </c>
      <c r="O2" s="77" t="s">
        <v>9</v>
      </c>
      <c r="P2" s="77" t="s">
        <v>10</v>
      </c>
      <c r="Q2" s="77" t="s">
        <v>11</v>
      </c>
      <c r="R2" s="77" t="s">
        <v>123</v>
      </c>
      <c r="S2" s="78" t="s">
        <v>12</v>
      </c>
      <c r="T2" s="79" t="s">
        <v>13</v>
      </c>
      <c r="U2" s="7"/>
    </row>
    <row r="3" spans="1:21" ht="19.899999999999999" customHeight="1" x14ac:dyDescent="0.2">
      <c r="A3" s="6"/>
      <c r="B3" s="211">
        <v>23</v>
      </c>
      <c r="C3" s="8" t="s">
        <v>14</v>
      </c>
      <c r="D3" s="12">
        <v>1</v>
      </c>
      <c r="E3" s="10"/>
      <c r="F3" s="10"/>
      <c r="G3" s="217" t="s">
        <v>322</v>
      </c>
      <c r="H3" s="10"/>
      <c r="I3" s="10"/>
      <c r="J3" s="10"/>
      <c r="K3" s="10"/>
      <c r="L3" s="226" t="s">
        <v>140</v>
      </c>
      <c r="M3" s="10"/>
      <c r="N3" s="10"/>
      <c r="O3" s="224" t="s">
        <v>323</v>
      </c>
      <c r="P3" s="10"/>
      <c r="Q3" s="10" t="s">
        <v>459</v>
      </c>
      <c r="R3" s="10" t="s">
        <v>459</v>
      </c>
      <c r="S3" s="270" t="s">
        <v>127</v>
      </c>
      <c r="T3" s="130" t="s">
        <v>324</v>
      </c>
      <c r="U3" s="233" t="s">
        <v>129</v>
      </c>
    </row>
    <row r="4" spans="1:21" ht="19.899999999999999" customHeight="1" x14ac:dyDescent="0.2">
      <c r="A4" s="6"/>
      <c r="B4" s="212"/>
      <c r="C4" s="11" t="s">
        <v>23</v>
      </c>
      <c r="D4" s="12">
        <v>2</v>
      </c>
      <c r="E4" s="13"/>
      <c r="F4" s="13"/>
      <c r="G4" s="218"/>
      <c r="H4" s="13"/>
      <c r="I4" s="193" t="s">
        <v>325</v>
      </c>
      <c r="J4" s="13"/>
      <c r="K4" s="13"/>
      <c r="L4" s="227"/>
      <c r="M4" s="140" t="s">
        <v>445</v>
      </c>
      <c r="N4" s="13"/>
      <c r="O4" s="242"/>
      <c r="P4" s="13"/>
      <c r="Q4" s="166" t="s">
        <v>457</v>
      </c>
      <c r="R4" s="166" t="s">
        <v>326</v>
      </c>
      <c r="S4" s="281"/>
      <c r="T4" s="137" t="s">
        <v>327</v>
      </c>
      <c r="U4" s="234"/>
    </row>
    <row r="5" spans="1:21" ht="19.899999999999999" customHeight="1" x14ac:dyDescent="0.2">
      <c r="A5" s="6"/>
      <c r="B5" s="212"/>
      <c r="C5" s="11" t="s">
        <v>25</v>
      </c>
      <c r="D5" s="12">
        <f t="shared" ref="D5:D6" si="0">D4+1</f>
        <v>3</v>
      </c>
      <c r="E5" s="13"/>
      <c r="F5" s="13"/>
      <c r="G5" s="218"/>
      <c r="H5" s="13"/>
      <c r="I5" s="13"/>
      <c r="J5" s="193" t="s">
        <v>253</v>
      </c>
      <c r="K5" s="13"/>
      <c r="L5" s="227"/>
      <c r="M5" s="140" t="s">
        <v>147</v>
      </c>
      <c r="N5" s="13"/>
      <c r="O5" s="13"/>
      <c r="P5" s="13"/>
      <c r="Q5" s="166" t="s">
        <v>458</v>
      </c>
      <c r="R5" s="13"/>
      <c r="S5" s="281"/>
      <c r="T5" s="131" t="s">
        <v>449</v>
      </c>
      <c r="U5" s="234"/>
    </row>
    <row r="6" spans="1:21" ht="19.899999999999999" customHeight="1" x14ac:dyDescent="0.2">
      <c r="A6" s="6"/>
      <c r="B6" s="212"/>
      <c r="C6" s="11" t="s">
        <v>27</v>
      </c>
      <c r="D6" s="12">
        <f t="shared" si="0"/>
        <v>4</v>
      </c>
      <c r="E6" s="13"/>
      <c r="F6" s="13"/>
      <c r="G6" s="218"/>
      <c r="H6" s="13"/>
      <c r="I6" s="13"/>
      <c r="J6" s="13"/>
      <c r="K6" s="13"/>
      <c r="L6" s="227"/>
      <c r="M6" s="13"/>
      <c r="N6" s="13"/>
      <c r="O6" s="13"/>
      <c r="P6" s="13"/>
      <c r="Q6" s="13"/>
      <c r="R6" s="110"/>
      <c r="S6" s="282"/>
      <c r="T6" s="134" t="s">
        <v>450</v>
      </c>
      <c r="U6" s="234"/>
    </row>
    <row r="7" spans="1:21" ht="19.899999999999999" customHeight="1" x14ac:dyDescent="0.2">
      <c r="A7" s="6"/>
      <c r="B7" s="212"/>
      <c r="C7" s="15" t="s">
        <v>29</v>
      </c>
      <c r="D7" s="16">
        <f t="shared" ref="D7" si="1">D6+1</f>
        <v>5</v>
      </c>
      <c r="E7" s="17"/>
      <c r="F7" s="17"/>
      <c r="G7" s="219"/>
      <c r="H7" s="17"/>
      <c r="I7" s="17"/>
      <c r="J7" s="17"/>
      <c r="K7" s="17"/>
      <c r="L7" s="228"/>
      <c r="M7" s="17"/>
      <c r="N7" s="17"/>
      <c r="O7" s="14" t="s">
        <v>30</v>
      </c>
      <c r="P7" s="17"/>
      <c r="Q7" s="17"/>
      <c r="R7" s="17"/>
      <c r="S7" s="206" t="s">
        <v>441</v>
      </c>
      <c r="T7" s="17"/>
      <c r="U7" s="234"/>
    </row>
    <row r="8" spans="1:21" ht="13.5" customHeight="1" x14ac:dyDescent="0.2">
      <c r="A8" s="6"/>
      <c r="B8" s="212"/>
      <c r="C8" s="18" t="s">
        <v>32</v>
      </c>
      <c r="D8" s="23">
        <f>D7+1</f>
        <v>6</v>
      </c>
      <c r="E8" s="217" t="s">
        <v>328</v>
      </c>
      <c r="F8" s="20"/>
      <c r="G8" s="20"/>
      <c r="H8" s="20"/>
      <c r="I8" s="20"/>
      <c r="J8" s="20"/>
      <c r="K8" s="20"/>
      <c r="L8" s="20"/>
      <c r="M8" s="21"/>
      <c r="N8" s="21"/>
      <c r="O8" s="20"/>
      <c r="P8" s="20"/>
      <c r="Q8" s="20"/>
      <c r="R8" s="20"/>
      <c r="S8" s="21" t="s">
        <v>329</v>
      </c>
      <c r="T8" s="21"/>
      <c r="U8" s="234"/>
    </row>
    <row r="9" spans="1:21" ht="13.5" customHeight="1" x14ac:dyDescent="0.2">
      <c r="A9" s="6"/>
      <c r="B9" s="213"/>
      <c r="C9" s="18" t="s">
        <v>33</v>
      </c>
      <c r="D9" s="23">
        <f>D8+1</f>
        <v>7</v>
      </c>
      <c r="E9" s="219"/>
      <c r="F9" s="20"/>
      <c r="G9" s="20"/>
      <c r="H9" s="20"/>
      <c r="I9" s="20"/>
      <c r="J9" s="20"/>
      <c r="K9" s="20"/>
      <c r="L9" s="20"/>
      <c r="M9" s="21"/>
      <c r="N9" s="21"/>
      <c r="O9" s="20"/>
      <c r="P9" s="20"/>
      <c r="Q9" s="20"/>
      <c r="R9" s="20"/>
      <c r="S9" s="21" t="s">
        <v>329</v>
      </c>
      <c r="T9" s="21"/>
      <c r="U9" s="235"/>
    </row>
    <row r="10" spans="1:21" ht="12" customHeight="1" x14ac:dyDescent="0.2">
      <c r="A10" s="6"/>
      <c r="B10" s="208" t="s">
        <v>321</v>
      </c>
      <c r="C10" s="209"/>
      <c r="D10" s="210"/>
      <c r="E10" s="214" t="s">
        <v>2</v>
      </c>
      <c r="F10" s="215"/>
      <c r="G10" s="216"/>
      <c r="H10" s="97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7</v>
      </c>
      <c r="O10" s="77" t="s">
        <v>9</v>
      </c>
      <c r="P10" s="77" t="s">
        <v>10</v>
      </c>
      <c r="Q10" s="77" t="s">
        <v>11</v>
      </c>
      <c r="R10" s="77" t="s">
        <v>123</v>
      </c>
      <c r="S10" s="111" t="s">
        <v>12</v>
      </c>
      <c r="T10" s="79" t="s">
        <v>13</v>
      </c>
      <c r="U10" s="7"/>
    </row>
    <row r="11" spans="1:21" ht="19.899999999999999" customHeight="1" x14ac:dyDescent="0.2">
      <c r="A11" s="6"/>
      <c r="B11" s="211">
        <f>B3+1</f>
        <v>24</v>
      </c>
      <c r="C11" s="8" t="s">
        <v>14</v>
      </c>
      <c r="D11" s="9">
        <f>D9+1</f>
        <v>8</v>
      </c>
      <c r="E11" s="217" t="s">
        <v>330</v>
      </c>
      <c r="F11" s="10"/>
      <c r="G11" s="10"/>
      <c r="H11" s="10"/>
      <c r="I11" s="10"/>
      <c r="J11" s="10"/>
      <c r="K11" s="10"/>
      <c r="L11" s="226" t="s">
        <v>140</v>
      </c>
      <c r="M11" s="10"/>
      <c r="N11" s="10"/>
      <c r="O11" s="224" t="s">
        <v>331</v>
      </c>
      <c r="P11" s="10"/>
      <c r="Q11" s="270" t="s">
        <v>127</v>
      </c>
      <c r="R11" s="10"/>
      <c r="S11" s="201" t="s">
        <v>452</v>
      </c>
      <c r="T11" s="10"/>
      <c r="U11" s="233"/>
    </row>
    <row r="12" spans="1:21" ht="19.899999999999999" customHeight="1" x14ac:dyDescent="0.2">
      <c r="A12" s="6"/>
      <c r="B12" s="212"/>
      <c r="C12" s="11" t="s">
        <v>23</v>
      </c>
      <c r="D12" s="12">
        <f t="shared" ref="D12:D15" si="2">D11+1</f>
        <v>9</v>
      </c>
      <c r="E12" s="218"/>
      <c r="F12" s="13"/>
      <c r="G12" s="13"/>
      <c r="H12" s="13"/>
      <c r="I12" s="193" t="s">
        <v>331</v>
      </c>
      <c r="J12" s="13"/>
      <c r="K12" s="13"/>
      <c r="L12" s="227"/>
      <c r="M12" s="13"/>
      <c r="N12" s="13"/>
      <c r="O12" s="242" t="s">
        <v>331</v>
      </c>
      <c r="P12" s="13"/>
      <c r="Q12" s="281"/>
      <c r="R12" s="13"/>
      <c r="S12" s="134" t="s">
        <v>224</v>
      </c>
      <c r="T12" s="128" t="s">
        <v>436</v>
      </c>
      <c r="U12" s="234"/>
    </row>
    <row r="13" spans="1:21" ht="19.899999999999999" customHeight="1" x14ac:dyDescent="0.2">
      <c r="A13" s="6"/>
      <c r="B13" s="212"/>
      <c r="C13" s="11" t="s">
        <v>25</v>
      </c>
      <c r="D13" s="12">
        <f t="shared" si="2"/>
        <v>10</v>
      </c>
      <c r="E13" s="218"/>
      <c r="F13" s="13"/>
      <c r="G13" s="13"/>
      <c r="H13" s="13"/>
      <c r="I13" s="13"/>
      <c r="J13" s="193" t="s">
        <v>253</v>
      </c>
      <c r="K13" s="13"/>
      <c r="L13" s="227"/>
      <c r="M13" s="13"/>
      <c r="N13" s="13"/>
      <c r="O13" s="13"/>
      <c r="P13" s="13"/>
      <c r="Q13" s="281"/>
      <c r="R13" s="13"/>
      <c r="S13" s="134" t="s">
        <v>224</v>
      </c>
      <c r="T13" s="13"/>
      <c r="U13" s="234"/>
    </row>
    <row r="14" spans="1:21" ht="19.899999999999999" customHeight="1" x14ac:dyDescent="0.2">
      <c r="A14" s="6"/>
      <c r="B14" s="212"/>
      <c r="C14" s="11" t="s">
        <v>27</v>
      </c>
      <c r="D14" s="12">
        <f t="shared" si="2"/>
        <v>11</v>
      </c>
      <c r="E14" s="218"/>
      <c r="F14" s="13"/>
      <c r="G14" s="13"/>
      <c r="H14" s="13"/>
      <c r="I14" s="13"/>
      <c r="J14" s="13"/>
      <c r="K14" s="13"/>
      <c r="L14" s="227"/>
      <c r="M14" s="13"/>
      <c r="N14" s="13"/>
      <c r="O14" s="13"/>
      <c r="P14" s="13"/>
      <c r="Q14" s="282"/>
      <c r="R14" s="13"/>
      <c r="S14" s="174" t="s">
        <v>332</v>
      </c>
      <c r="T14" s="134" t="s">
        <v>333</v>
      </c>
      <c r="U14" s="234"/>
    </row>
    <row r="15" spans="1:21" ht="19.899999999999999" customHeight="1" x14ac:dyDescent="0.2">
      <c r="A15" s="6"/>
      <c r="B15" s="212"/>
      <c r="C15" s="15" t="s">
        <v>29</v>
      </c>
      <c r="D15" s="16">
        <f t="shared" si="2"/>
        <v>12</v>
      </c>
      <c r="E15" s="219"/>
      <c r="F15" s="17"/>
      <c r="G15" s="17"/>
      <c r="H15" s="17"/>
      <c r="I15" s="17"/>
      <c r="J15" s="17"/>
      <c r="K15" s="17"/>
      <c r="L15" s="228"/>
      <c r="M15" s="17"/>
      <c r="N15" s="17"/>
      <c r="O15" s="14" t="s">
        <v>30</v>
      </c>
      <c r="P15" s="17"/>
      <c r="Q15" s="129" t="s">
        <v>334</v>
      </c>
      <c r="R15" s="17"/>
      <c r="S15" s="201" t="s">
        <v>335</v>
      </c>
      <c r="T15" s="17"/>
      <c r="U15" s="234"/>
    </row>
    <row r="16" spans="1:21" ht="13.5" customHeight="1" x14ac:dyDescent="0.2">
      <c r="A16" s="6"/>
      <c r="B16" s="212"/>
      <c r="C16" s="18" t="s">
        <v>32</v>
      </c>
      <c r="D16" s="9">
        <f>D15+1</f>
        <v>13</v>
      </c>
      <c r="E16" s="20"/>
      <c r="F16" s="20"/>
      <c r="G16" s="20"/>
      <c r="H16" s="20"/>
      <c r="I16" s="20"/>
      <c r="J16" s="20"/>
      <c r="K16" s="20"/>
      <c r="L16" s="20"/>
      <c r="M16" s="21"/>
      <c r="N16" s="21"/>
      <c r="O16" s="20"/>
      <c r="P16" s="20"/>
      <c r="Q16" s="20"/>
      <c r="R16" s="20"/>
      <c r="S16" s="21"/>
      <c r="T16" s="21"/>
      <c r="U16" s="234"/>
    </row>
    <row r="17" spans="1:21" ht="13.5" customHeight="1" x14ac:dyDescent="0.2">
      <c r="A17" s="6"/>
      <c r="B17" s="213"/>
      <c r="C17" s="18" t="s">
        <v>33</v>
      </c>
      <c r="D17" s="9">
        <f>D16+1</f>
        <v>14</v>
      </c>
      <c r="E17" s="20"/>
      <c r="F17" s="20"/>
      <c r="G17" s="20"/>
      <c r="H17" s="20"/>
      <c r="I17" s="20"/>
      <c r="J17" s="20"/>
      <c r="K17" s="20"/>
      <c r="L17" s="20"/>
      <c r="M17" s="21"/>
      <c r="N17" s="21"/>
      <c r="O17" s="20"/>
      <c r="P17" s="20"/>
      <c r="Q17" s="20"/>
      <c r="R17" s="20"/>
      <c r="S17" s="21"/>
      <c r="T17" s="21"/>
      <c r="U17" s="235"/>
    </row>
    <row r="18" spans="1:21" ht="12" customHeight="1" x14ac:dyDescent="0.2">
      <c r="A18" s="6"/>
      <c r="B18" s="208" t="s">
        <v>321</v>
      </c>
      <c r="C18" s="209"/>
      <c r="D18" s="210"/>
      <c r="E18" s="214" t="s">
        <v>2</v>
      </c>
      <c r="F18" s="215"/>
      <c r="G18" s="216"/>
      <c r="H18" s="97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7</v>
      </c>
      <c r="O18" s="77" t="s">
        <v>9</v>
      </c>
      <c r="P18" s="77" t="s">
        <v>10</v>
      </c>
      <c r="Q18" s="112" t="s">
        <v>11</v>
      </c>
      <c r="R18" s="77" t="s">
        <v>123</v>
      </c>
      <c r="S18" s="78" t="s">
        <v>12</v>
      </c>
      <c r="T18" s="79" t="s">
        <v>13</v>
      </c>
      <c r="U18" s="7"/>
    </row>
    <row r="19" spans="1:21" ht="19.899999999999999" customHeight="1" x14ac:dyDescent="0.2">
      <c r="A19" s="6"/>
      <c r="B19" s="211">
        <f>B11+1</f>
        <v>25</v>
      </c>
      <c r="C19" s="8" t="s">
        <v>14</v>
      </c>
      <c r="D19" s="9">
        <f>D17+1</f>
        <v>15</v>
      </c>
      <c r="E19" s="10"/>
      <c r="F19" s="10"/>
      <c r="G19" s="217" t="s">
        <v>336</v>
      </c>
      <c r="H19" s="10"/>
      <c r="I19" s="194" t="s">
        <v>337</v>
      </c>
      <c r="J19" s="10"/>
      <c r="K19" s="10"/>
      <c r="L19" s="10"/>
      <c r="M19" s="10"/>
      <c r="N19" s="10"/>
      <c r="O19" s="224" t="s">
        <v>337</v>
      </c>
      <c r="P19" s="10"/>
      <c r="Q19" s="224" t="s">
        <v>323</v>
      </c>
      <c r="R19" s="224" t="s">
        <v>323</v>
      </c>
      <c r="S19" s="17"/>
      <c r="T19" s="231" t="s">
        <v>338</v>
      </c>
      <c r="U19" s="233"/>
    </row>
    <row r="20" spans="1:21" ht="19.899999999999999" customHeight="1" x14ac:dyDescent="0.2">
      <c r="A20" s="6"/>
      <c r="B20" s="212"/>
      <c r="C20" s="11" t="s">
        <v>23</v>
      </c>
      <c r="D20" s="12">
        <f t="shared" ref="D20:D23" si="3">D19+1</f>
        <v>16</v>
      </c>
      <c r="E20" s="13"/>
      <c r="F20" s="13"/>
      <c r="G20" s="229"/>
      <c r="H20" s="13"/>
      <c r="I20" s="13"/>
      <c r="J20" s="13"/>
      <c r="K20" s="13"/>
      <c r="L20" s="13"/>
      <c r="M20" s="13"/>
      <c r="N20" s="13"/>
      <c r="O20" s="242" t="s">
        <v>337</v>
      </c>
      <c r="P20" s="13"/>
      <c r="Q20" s="242"/>
      <c r="R20" s="242"/>
      <c r="S20" s="137" t="s">
        <v>438</v>
      </c>
      <c r="T20" s="232"/>
      <c r="U20" s="234"/>
    </row>
    <row r="21" spans="1:21" ht="19.899999999999999" customHeight="1" x14ac:dyDescent="0.2">
      <c r="A21" s="6"/>
      <c r="B21" s="212"/>
      <c r="C21" s="11" t="s">
        <v>25</v>
      </c>
      <c r="D21" s="12">
        <f t="shared" si="3"/>
        <v>17</v>
      </c>
      <c r="E21" s="13"/>
      <c r="F21" s="13"/>
      <c r="G21" s="13"/>
      <c r="H21" s="13"/>
      <c r="I21" s="13"/>
      <c r="J21" s="193" t="s">
        <v>253</v>
      </c>
      <c r="K21" s="13"/>
      <c r="L21" s="13"/>
      <c r="M21" s="13"/>
      <c r="N21" s="13"/>
      <c r="O21" s="13"/>
      <c r="P21" s="131" t="s">
        <v>339</v>
      </c>
      <c r="Q21" s="133" t="s">
        <v>340</v>
      </c>
      <c r="R21" s="13"/>
      <c r="S21" s="131" t="s">
        <v>341</v>
      </c>
      <c r="T21" s="13"/>
      <c r="U21" s="234"/>
    </row>
    <row r="22" spans="1:21" ht="19.899999999999999" customHeight="1" x14ac:dyDescent="0.2">
      <c r="A22" s="6"/>
      <c r="B22" s="212"/>
      <c r="C22" s="11" t="s">
        <v>27</v>
      </c>
      <c r="D22" s="12">
        <f t="shared" si="3"/>
        <v>18</v>
      </c>
      <c r="E22" s="13"/>
      <c r="F22" s="13"/>
      <c r="G22" s="13"/>
      <c r="H22" s="13"/>
      <c r="I22" s="13"/>
      <c r="J22" s="193" t="s">
        <v>342</v>
      </c>
      <c r="K22" s="13"/>
      <c r="L22" s="13"/>
      <c r="M22" s="13"/>
      <c r="N22" s="13"/>
      <c r="O22" s="13"/>
      <c r="P22" s="131" t="s">
        <v>339</v>
      </c>
      <c r="Q22" s="129" t="s">
        <v>343</v>
      </c>
      <c r="R22" s="224" t="s">
        <v>344</v>
      </c>
      <c r="S22" s="131" t="s">
        <v>442</v>
      </c>
      <c r="T22" s="13"/>
      <c r="U22" s="234"/>
    </row>
    <row r="23" spans="1:21" ht="19.899999999999999" customHeight="1" x14ac:dyDescent="0.2">
      <c r="A23" s="6"/>
      <c r="B23" s="212"/>
      <c r="C23" s="15" t="s">
        <v>29</v>
      </c>
      <c r="D23" s="16">
        <f t="shared" si="3"/>
        <v>19</v>
      </c>
      <c r="E23" s="17"/>
      <c r="F23" s="17"/>
      <c r="G23" s="17"/>
      <c r="H23" s="17"/>
      <c r="I23" s="17"/>
      <c r="J23" s="193" t="s">
        <v>345</v>
      </c>
      <c r="K23" s="17"/>
      <c r="L23" s="17"/>
      <c r="M23" s="17"/>
      <c r="N23" s="17"/>
      <c r="O23" s="17"/>
      <c r="P23" s="17"/>
      <c r="Q23" s="129" t="s">
        <v>343</v>
      </c>
      <c r="R23" s="225"/>
      <c r="S23" s="132" t="s">
        <v>440</v>
      </c>
      <c r="T23" s="17"/>
      <c r="U23" s="234"/>
    </row>
    <row r="24" spans="1:21" ht="13.5" customHeight="1" x14ac:dyDescent="0.2">
      <c r="A24" s="6"/>
      <c r="B24" s="212"/>
      <c r="C24" s="18" t="s">
        <v>32</v>
      </c>
      <c r="D24" s="9">
        <f>D23+1</f>
        <v>20</v>
      </c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0"/>
      <c r="P24" s="20"/>
      <c r="Q24" s="20"/>
      <c r="R24" s="20"/>
      <c r="S24" s="21"/>
      <c r="T24" s="21"/>
      <c r="U24" s="234"/>
    </row>
    <row r="25" spans="1:21" ht="13.5" customHeight="1" x14ac:dyDescent="0.2">
      <c r="A25" s="6"/>
      <c r="B25" s="213"/>
      <c r="C25" s="18" t="s">
        <v>33</v>
      </c>
      <c r="D25" s="9">
        <f>D24+1</f>
        <v>21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0"/>
      <c r="P25" s="20"/>
      <c r="Q25" s="20"/>
      <c r="R25" s="20"/>
      <c r="S25" s="21"/>
      <c r="T25" s="21"/>
      <c r="U25" s="235"/>
    </row>
    <row r="26" spans="1:21" ht="12" customHeight="1" x14ac:dyDescent="0.2">
      <c r="A26" s="6"/>
      <c r="B26" s="287" t="s">
        <v>346</v>
      </c>
      <c r="C26" s="209"/>
      <c r="D26" s="210"/>
      <c r="E26" s="214" t="s">
        <v>2</v>
      </c>
      <c r="F26" s="215"/>
      <c r="G26" s="216"/>
      <c r="H26" s="97"/>
      <c r="I26" s="98" t="s">
        <v>3</v>
      </c>
      <c r="J26" s="98" t="s">
        <v>4</v>
      </c>
      <c r="K26" s="31"/>
      <c r="L26" s="77" t="s">
        <v>5</v>
      </c>
      <c r="M26" s="77" t="s">
        <v>6</v>
      </c>
      <c r="N26" s="77" t="s">
        <v>7</v>
      </c>
      <c r="O26" s="77" t="s">
        <v>9</v>
      </c>
      <c r="P26" s="77" t="s">
        <v>10</v>
      </c>
      <c r="Q26" s="77" t="s">
        <v>11</v>
      </c>
      <c r="R26" s="112" t="s">
        <v>123</v>
      </c>
      <c r="S26" s="78" t="s">
        <v>12</v>
      </c>
      <c r="T26" s="79" t="s">
        <v>13</v>
      </c>
      <c r="U26" s="7"/>
    </row>
    <row r="27" spans="1:21" ht="19.899999999999999" customHeight="1" x14ac:dyDescent="0.2">
      <c r="A27" s="6"/>
      <c r="B27" s="211">
        <f>B19+1</f>
        <v>26</v>
      </c>
      <c r="C27" s="8" t="s">
        <v>14</v>
      </c>
      <c r="D27" s="9">
        <f>D25+1</f>
        <v>22</v>
      </c>
      <c r="E27" s="217" t="s">
        <v>153</v>
      </c>
      <c r="F27" s="217" t="s">
        <v>347</v>
      </c>
      <c r="G27" s="217" t="s">
        <v>348</v>
      </c>
      <c r="H27" s="10"/>
      <c r="I27" s="10"/>
      <c r="J27" s="10"/>
      <c r="K27" s="10"/>
      <c r="L27" s="10"/>
      <c r="M27" s="10"/>
      <c r="N27" s="10"/>
      <c r="O27" s="224" t="s">
        <v>455</v>
      </c>
      <c r="P27" s="10"/>
      <c r="Q27" s="224" t="s">
        <v>349</v>
      </c>
      <c r="R27" s="224" t="s">
        <v>344</v>
      </c>
      <c r="S27" s="224" t="s">
        <v>350</v>
      </c>
      <c r="T27" s="10"/>
      <c r="U27" s="233"/>
    </row>
    <row r="28" spans="1:21" ht="19.899999999999999" customHeight="1" x14ac:dyDescent="0.2">
      <c r="A28" s="6"/>
      <c r="B28" s="212"/>
      <c r="C28" s="11" t="s">
        <v>23</v>
      </c>
      <c r="D28" s="12">
        <f t="shared" ref="D28:D31" si="4">D27+1</f>
        <v>23</v>
      </c>
      <c r="E28" s="218"/>
      <c r="F28" s="218"/>
      <c r="G28" s="218"/>
      <c r="H28" s="13"/>
      <c r="I28" s="193" t="s">
        <v>351</v>
      </c>
      <c r="J28" s="193" t="s">
        <v>352</v>
      </c>
      <c r="K28" s="13"/>
      <c r="L28" s="13"/>
      <c r="M28" s="13"/>
      <c r="N28" s="13"/>
      <c r="O28" s="242" t="s">
        <v>331</v>
      </c>
      <c r="P28" s="13"/>
      <c r="Q28" s="242"/>
      <c r="R28" s="225"/>
      <c r="S28" s="241"/>
      <c r="T28" s="131" t="s">
        <v>353</v>
      </c>
      <c r="U28" s="234"/>
    </row>
    <row r="29" spans="1:21" ht="19.899999999999999" customHeight="1" x14ac:dyDescent="0.2">
      <c r="A29" s="6"/>
      <c r="B29" s="212"/>
      <c r="C29" s="11" t="s">
        <v>25</v>
      </c>
      <c r="D29" s="12">
        <f t="shared" si="4"/>
        <v>24</v>
      </c>
      <c r="E29" s="218"/>
      <c r="F29" s="218"/>
      <c r="G29" s="218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241"/>
      <c r="T29" s="13"/>
      <c r="U29" s="234"/>
    </row>
    <row r="30" spans="1:21" ht="19.899999999999999" customHeight="1" x14ac:dyDescent="0.2">
      <c r="A30" s="6"/>
      <c r="B30" s="212"/>
      <c r="C30" s="11" t="s">
        <v>27</v>
      </c>
      <c r="D30" s="12">
        <f t="shared" si="4"/>
        <v>25</v>
      </c>
      <c r="E30" s="218"/>
      <c r="F30" s="218"/>
      <c r="G30" s="218"/>
      <c r="H30" s="13"/>
      <c r="I30" s="13"/>
      <c r="J30" s="193" t="s">
        <v>342</v>
      </c>
      <c r="K30" s="13"/>
      <c r="L30" s="13"/>
      <c r="M30" s="13"/>
      <c r="N30" s="13"/>
      <c r="O30" s="13"/>
      <c r="P30" s="13"/>
      <c r="Q30" s="13"/>
      <c r="R30" s="13" t="s">
        <v>456</v>
      </c>
      <c r="S30" s="241"/>
      <c r="T30" s="13"/>
      <c r="U30" s="234"/>
    </row>
    <row r="31" spans="1:21" ht="19.899999999999999" customHeight="1" x14ac:dyDescent="0.2">
      <c r="A31" s="6"/>
      <c r="B31" s="212"/>
      <c r="C31" s="15" t="s">
        <v>29</v>
      </c>
      <c r="D31" s="16">
        <f t="shared" si="4"/>
        <v>26</v>
      </c>
      <c r="E31" s="219"/>
      <c r="F31" s="219"/>
      <c r="G31" s="218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225"/>
      <c r="T31" s="17"/>
      <c r="U31" s="234"/>
    </row>
    <row r="32" spans="1:21" ht="13.5" customHeight="1" x14ac:dyDescent="0.2">
      <c r="A32" s="6"/>
      <c r="B32" s="212"/>
      <c r="C32" s="18" t="s">
        <v>32</v>
      </c>
      <c r="D32" s="19">
        <f>D31+1</f>
        <v>27</v>
      </c>
      <c r="E32" s="20"/>
      <c r="F32" s="20"/>
      <c r="G32" s="218"/>
      <c r="H32" s="20"/>
      <c r="I32" s="20"/>
      <c r="J32" s="20"/>
      <c r="K32" s="20"/>
      <c r="L32" s="20"/>
      <c r="M32" s="21"/>
      <c r="N32" s="21"/>
      <c r="O32" s="20"/>
      <c r="P32" s="20"/>
      <c r="Q32" s="224" t="s">
        <v>309</v>
      </c>
      <c r="R32" s="20"/>
      <c r="S32" s="21"/>
      <c r="T32" s="21"/>
      <c r="U32" s="234"/>
    </row>
    <row r="33" spans="1:21" ht="13.5" customHeight="1" x14ac:dyDescent="0.2">
      <c r="A33" s="6"/>
      <c r="B33" s="213"/>
      <c r="C33" s="18" t="s">
        <v>33</v>
      </c>
      <c r="D33" s="19">
        <f>D32+1</f>
        <v>28</v>
      </c>
      <c r="E33" s="20"/>
      <c r="F33" s="20"/>
      <c r="G33" s="219"/>
      <c r="H33" s="20"/>
      <c r="I33" s="20"/>
      <c r="J33" s="20"/>
      <c r="K33" s="20"/>
      <c r="L33" s="20"/>
      <c r="M33" s="21"/>
      <c r="N33" s="21"/>
      <c r="O33" s="20"/>
      <c r="P33" s="20"/>
      <c r="Q33" s="225"/>
      <c r="R33" s="20"/>
      <c r="S33" s="21"/>
      <c r="T33" s="21"/>
      <c r="U33" s="235"/>
    </row>
  </sheetData>
  <mergeCells count="39">
    <mergeCell ref="B2:D2"/>
    <mergeCell ref="B3:B9"/>
    <mergeCell ref="E8:E9"/>
    <mergeCell ref="O27:O28"/>
    <mergeCell ref="L11:L15"/>
    <mergeCell ref="B26:D26"/>
    <mergeCell ref="B27:B33"/>
    <mergeCell ref="E27:E31"/>
    <mergeCell ref="F27:F31"/>
    <mergeCell ref="G27:G33"/>
    <mergeCell ref="E26:G26"/>
    <mergeCell ref="B19:B25"/>
    <mergeCell ref="O19:O20"/>
    <mergeCell ref="B10:D10"/>
    <mergeCell ref="B11:B17"/>
    <mergeCell ref="B18:D18"/>
    <mergeCell ref="U3:U9"/>
    <mergeCell ref="O3:O4"/>
    <mergeCell ref="E2:G2"/>
    <mergeCell ref="S3:S6"/>
    <mergeCell ref="L3:L7"/>
    <mergeCell ref="G3:G7"/>
    <mergeCell ref="U11:U17"/>
    <mergeCell ref="U19:U25"/>
    <mergeCell ref="Q11:Q14"/>
    <mergeCell ref="S27:S31"/>
    <mergeCell ref="T19:T20"/>
    <mergeCell ref="R19:R20"/>
    <mergeCell ref="Q19:Q20"/>
    <mergeCell ref="U27:U33"/>
    <mergeCell ref="Q32:Q33"/>
    <mergeCell ref="R22:R23"/>
    <mergeCell ref="R27:R28"/>
    <mergeCell ref="Q27:Q28"/>
    <mergeCell ref="E10:G10"/>
    <mergeCell ref="E11:E15"/>
    <mergeCell ref="E18:G18"/>
    <mergeCell ref="O11:O12"/>
    <mergeCell ref="G19:G20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1"/>
  <sheetViews>
    <sheetView showGridLines="0" topLeftCell="A16" workbookViewId="0">
      <pane xSplit="4" topLeftCell="R16" activePane="topRight" state="frozen"/>
      <selection activeCell="T19" sqref="T19:T25"/>
      <selection pane="topRight" activeCell="T19" sqref="T19:T25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0.40234375" customWidth="1"/>
    <col min="12" max="20" width="15.73828125" customWidth="1"/>
    <col min="21" max="21" width="2.95703125" customWidth="1"/>
  </cols>
  <sheetData>
    <row r="1" spans="1:21" ht="9.75" customHeight="1" x14ac:dyDescent="0.2">
      <c r="A1" s="1" t="s">
        <v>0</v>
      </c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ht="12" customHeight="1" x14ac:dyDescent="0.2">
      <c r="A2" s="6"/>
      <c r="B2" s="208" t="s">
        <v>354</v>
      </c>
      <c r="C2" s="209"/>
      <c r="D2" s="210"/>
      <c r="E2" s="214" t="s">
        <v>2</v>
      </c>
      <c r="F2" s="215"/>
      <c r="G2" s="216"/>
      <c r="H2" s="96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7</v>
      </c>
      <c r="O2" s="77" t="s">
        <v>9</v>
      </c>
      <c r="P2" s="77" t="s">
        <v>10</v>
      </c>
      <c r="Q2" s="77" t="s">
        <v>11</v>
      </c>
      <c r="R2" s="77" t="s">
        <v>123</v>
      </c>
      <c r="S2" s="78" t="s">
        <v>12</v>
      </c>
      <c r="T2" s="79" t="s">
        <v>13</v>
      </c>
      <c r="U2" s="7"/>
    </row>
    <row r="3" spans="1:21" ht="19.899999999999999" customHeight="1" x14ac:dyDescent="0.2">
      <c r="A3" s="6"/>
      <c r="B3" s="211">
        <v>27</v>
      </c>
      <c r="C3" s="8" t="s">
        <v>14</v>
      </c>
      <c r="D3" s="12">
        <f>'Juin 2026'!D33+1</f>
        <v>29</v>
      </c>
      <c r="E3" s="10"/>
      <c r="F3" s="10"/>
      <c r="G3" s="10"/>
      <c r="H3" s="10"/>
      <c r="I3" s="10"/>
      <c r="J3" s="10"/>
      <c r="K3" s="10"/>
      <c r="L3" s="226" t="s">
        <v>140</v>
      </c>
      <c r="M3" s="10"/>
      <c r="N3" s="10"/>
      <c r="O3" s="10"/>
      <c r="P3" s="10"/>
      <c r="Q3" s="10"/>
      <c r="R3" s="10"/>
      <c r="S3" s="224" t="s">
        <v>350</v>
      </c>
      <c r="T3" s="10"/>
      <c r="U3" s="233" t="s">
        <v>211</v>
      </c>
    </row>
    <row r="4" spans="1:21" ht="19.899999999999999" customHeight="1" x14ac:dyDescent="0.2">
      <c r="A4" s="6"/>
      <c r="B4" s="212"/>
      <c r="C4" s="11" t="s">
        <v>23</v>
      </c>
      <c r="D4" s="12">
        <v>30</v>
      </c>
      <c r="E4" s="13"/>
      <c r="F4" s="13"/>
      <c r="G4" s="13"/>
      <c r="H4" s="13"/>
      <c r="I4" s="13"/>
      <c r="J4" s="193" t="s">
        <v>352</v>
      </c>
      <c r="K4" s="13"/>
      <c r="L4" s="227"/>
      <c r="M4" s="13"/>
      <c r="N4" s="13"/>
      <c r="O4" s="13"/>
      <c r="P4" s="13"/>
      <c r="Q4" s="13"/>
      <c r="R4" s="13"/>
      <c r="S4" s="241"/>
      <c r="T4" s="13"/>
      <c r="U4" s="234"/>
    </row>
    <row r="5" spans="1:21" ht="19.899999999999999" customHeight="1" x14ac:dyDescent="0.2">
      <c r="A5" s="6"/>
      <c r="B5" s="212"/>
      <c r="C5" s="11" t="s">
        <v>25</v>
      </c>
      <c r="D5" s="12">
        <v>1</v>
      </c>
      <c r="E5" s="13"/>
      <c r="F5" s="13"/>
      <c r="G5" s="13"/>
      <c r="H5" s="13"/>
      <c r="I5" s="13"/>
      <c r="J5" s="13"/>
      <c r="K5" s="13"/>
      <c r="L5" s="227"/>
      <c r="M5" s="13"/>
      <c r="N5" s="13"/>
      <c r="O5" s="13"/>
      <c r="P5" s="13"/>
      <c r="Q5" s="270" t="s">
        <v>183</v>
      </c>
      <c r="R5" s="13"/>
      <c r="S5" s="241"/>
      <c r="T5" s="270" t="s">
        <v>183</v>
      </c>
      <c r="U5" s="234"/>
    </row>
    <row r="6" spans="1:21" ht="19.899999999999999" customHeight="1" x14ac:dyDescent="0.2">
      <c r="A6" s="6"/>
      <c r="B6" s="212"/>
      <c r="C6" s="11" t="s">
        <v>27</v>
      </c>
      <c r="D6" s="12">
        <f>D5+1</f>
        <v>2</v>
      </c>
      <c r="E6" s="13"/>
      <c r="F6" s="13"/>
      <c r="G6" s="13"/>
      <c r="H6" s="13"/>
      <c r="I6" s="13"/>
      <c r="J6" s="193" t="s">
        <v>342</v>
      </c>
      <c r="K6" s="13"/>
      <c r="L6" s="227"/>
      <c r="M6" s="13"/>
      <c r="N6" s="13"/>
      <c r="O6" s="13"/>
      <c r="P6" s="13"/>
      <c r="Q6" s="282"/>
      <c r="R6" s="13"/>
      <c r="S6" s="241"/>
      <c r="T6" s="282"/>
      <c r="U6" s="234"/>
    </row>
    <row r="7" spans="1:21" ht="19.899999999999999" customHeight="1" x14ac:dyDescent="0.2">
      <c r="A7" s="6"/>
      <c r="B7" s="212"/>
      <c r="C7" s="15" t="s">
        <v>29</v>
      </c>
      <c r="D7" s="16">
        <f t="shared" ref="D7" si="0">D6+1</f>
        <v>3</v>
      </c>
      <c r="E7" s="17"/>
      <c r="F7" s="17"/>
      <c r="G7" s="17"/>
      <c r="H7" s="17"/>
      <c r="I7" s="17"/>
      <c r="J7" s="17"/>
      <c r="K7" s="17"/>
      <c r="L7" s="228"/>
      <c r="M7" s="17"/>
      <c r="N7" s="17"/>
      <c r="O7" s="17"/>
      <c r="P7" s="17"/>
      <c r="Q7" s="17"/>
      <c r="R7" s="17"/>
      <c r="S7" s="225"/>
      <c r="T7" s="17"/>
      <c r="U7" s="234"/>
    </row>
    <row r="8" spans="1:21" ht="13.5" customHeight="1" x14ac:dyDescent="0.2">
      <c r="A8" s="6"/>
      <c r="B8" s="212"/>
      <c r="C8" s="18" t="s">
        <v>32</v>
      </c>
      <c r="D8" s="23">
        <f>D7+1</f>
        <v>4</v>
      </c>
      <c r="E8" s="20"/>
      <c r="F8" s="20"/>
      <c r="G8" s="20"/>
      <c r="H8" s="20"/>
      <c r="I8" s="20"/>
      <c r="J8" s="20"/>
      <c r="K8" s="20"/>
      <c r="L8" s="20"/>
      <c r="M8" s="21"/>
      <c r="N8" s="21"/>
      <c r="O8" s="20"/>
      <c r="P8" s="20"/>
      <c r="Q8" s="20"/>
      <c r="R8" s="20"/>
      <c r="S8" s="21"/>
      <c r="T8" s="21"/>
      <c r="U8" s="234"/>
    </row>
    <row r="9" spans="1:21" ht="13.5" customHeight="1" x14ac:dyDescent="0.2">
      <c r="A9" s="6"/>
      <c r="B9" s="213"/>
      <c r="C9" s="18" t="s">
        <v>33</v>
      </c>
      <c r="D9" s="23">
        <f>D8+1</f>
        <v>5</v>
      </c>
      <c r="E9" s="20"/>
      <c r="F9" s="20"/>
      <c r="G9" s="20"/>
      <c r="H9" s="20"/>
      <c r="I9" s="20"/>
      <c r="J9" s="20"/>
      <c r="K9" s="20"/>
      <c r="L9" s="20"/>
      <c r="M9" s="21"/>
      <c r="N9" s="21"/>
      <c r="O9" s="20"/>
      <c r="P9" s="20"/>
      <c r="Q9" s="20"/>
      <c r="R9" s="20"/>
      <c r="S9" s="21"/>
      <c r="T9" s="21"/>
      <c r="U9" s="235"/>
    </row>
    <row r="10" spans="1:21" ht="12" customHeight="1" x14ac:dyDescent="0.2">
      <c r="A10" s="6"/>
      <c r="B10" s="208" t="s">
        <v>354</v>
      </c>
      <c r="C10" s="209"/>
      <c r="D10" s="210"/>
      <c r="E10" s="214" t="s">
        <v>2</v>
      </c>
      <c r="F10" s="215"/>
      <c r="G10" s="216"/>
      <c r="H10" s="96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7</v>
      </c>
      <c r="O10" s="77" t="s">
        <v>9</v>
      </c>
      <c r="P10" s="77" t="s">
        <v>10</v>
      </c>
      <c r="Q10" s="77" t="s">
        <v>11</v>
      </c>
      <c r="R10" s="77" t="s">
        <v>123</v>
      </c>
      <c r="S10" s="78" t="s">
        <v>12</v>
      </c>
      <c r="T10" s="79" t="s">
        <v>13</v>
      </c>
      <c r="U10" s="7"/>
    </row>
    <row r="11" spans="1:21" ht="19.899999999999999" customHeight="1" x14ac:dyDescent="0.2">
      <c r="A11" s="6"/>
      <c r="B11" s="211">
        <f>B3+1</f>
        <v>28</v>
      </c>
      <c r="C11" s="8" t="s">
        <v>14</v>
      </c>
      <c r="D11" s="9">
        <f>D8+2</f>
        <v>6</v>
      </c>
      <c r="E11" s="257" t="s">
        <v>355</v>
      </c>
      <c r="F11" s="217" t="s">
        <v>356</v>
      </c>
      <c r="G11" s="217" t="s">
        <v>357</v>
      </c>
      <c r="H11" s="10"/>
      <c r="I11" s="10"/>
      <c r="J11" s="10"/>
      <c r="K11" s="10"/>
      <c r="L11" s="226" t="s">
        <v>140</v>
      </c>
      <c r="M11" s="10"/>
      <c r="N11" s="10"/>
      <c r="O11" s="10"/>
      <c r="P11" s="10"/>
      <c r="Q11" s="10"/>
      <c r="R11" s="224" t="s">
        <v>358</v>
      </c>
      <c r="S11" s="10" t="s">
        <v>439</v>
      </c>
      <c r="T11" s="231" t="s">
        <v>338</v>
      </c>
      <c r="U11" s="233" t="s">
        <v>78</v>
      </c>
    </row>
    <row r="12" spans="1:21" ht="19.899999999999999" customHeight="1" x14ac:dyDescent="0.2">
      <c r="A12" s="6"/>
      <c r="B12" s="212"/>
      <c r="C12" s="11" t="s">
        <v>23</v>
      </c>
      <c r="D12" s="12">
        <f t="shared" ref="D12:D15" si="1">D11+1</f>
        <v>7</v>
      </c>
      <c r="E12" s="212"/>
      <c r="F12" s="218"/>
      <c r="G12" s="218"/>
      <c r="H12" s="13"/>
      <c r="I12" s="13" t="s">
        <v>359</v>
      </c>
      <c r="J12" s="193" t="s">
        <v>352</v>
      </c>
      <c r="K12" s="13"/>
      <c r="L12" s="227"/>
      <c r="M12" s="14" t="s">
        <v>360</v>
      </c>
      <c r="N12" s="13"/>
      <c r="O12" s="13"/>
      <c r="P12" s="13"/>
      <c r="Q12" s="13"/>
      <c r="R12" s="241"/>
      <c r="S12" s="13"/>
      <c r="T12" s="232"/>
      <c r="U12" s="234"/>
    </row>
    <row r="13" spans="1:21" ht="19.899999999999999" customHeight="1" x14ac:dyDescent="0.2">
      <c r="A13" s="6"/>
      <c r="B13" s="212"/>
      <c r="C13" s="11" t="s">
        <v>25</v>
      </c>
      <c r="D13" s="12">
        <f t="shared" si="1"/>
        <v>8</v>
      </c>
      <c r="E13" s="212"/>
      <c r="F13" s="218"/>
      <c r="G13" s="229"/>
      <c r="H13" s="13"/>
      <c r="I13" s="13"/>
      <c r="J13" s="13"/>
      <c r="K13" s="13"/>
      <c r="L13" s="227"/>
      <c r="M13" s="13"/>
      <c r="N13" s="13"/>
      <c r="O13" s="13"/>
      <c r="P13" s="13"/>
      <c r="Q13" s="13"/>
      <c r="R13" s="242"/>
      <c r="S13" s="13"/>
      <c r="T13" s="13"/>
      <c r="U13" s="234"/>
    </row>
    <row r="14" spans="1:21" ht="19.899999999999999" customHeight="1" x14ac:dyDescent="0.2">
      <c r="A14" s="6"/>
      <c r="B14" s="212"/>
      <c r="C14" s="11" t="s">
        <v>27</v>
      </c>
      <c r="D14" s="12">
        <f t="shared" si="1"/>
        <v>9</v>
      </c>
      <c r="E14" s="212"/>
      <c r="F14" s="218"/>
      <c r="G14" s="13"/>
      <c r="H14" s="13"/>
      <c r="I14" s="13"/>
      <c r="J14" s="193" t="s">
        <v>342</v>
      </c>
      <c r="K14" s="13"/>
      <c r="L14" s="227"/>
      <c r="M14" s="13"/>
      <c r="N14" s="13"/>
      <c r="O14" s="13"/>
      <c r="P14" s="13"/>
      <c r="Q14" s="13"/>
      <c r="R14" s="13"/>
      <c r="S14" s="13"/>
      <c r="T14" s="230" t="s">
        <v>361</v>
      </c>
      <c r="U14" s="234"/>
    </row>
    <row r="15" spans="1:21" ht="19.899999999999999" customHeight="1" x14ac:dyDescent="0.2">
      <c r="A15" s="6"/>
      <c r="B15" s="212"/>
      <c r="C15" s="15" t="s">
        <v>29</v>
      </c>
      <c r="D15" s="16">
        <f t="shared" si="1"/>
        <v>10</v>
      </c>
      <c r="E15" s="213"/>
      <c r="F15" s="219"/>
      <c r="G15" s="17"/>
      <c r="H15" s="17"/>
      <c r="I15" s="17"/>
      <c r="J15" s="17"/>
      <c r="K15" s="17"/>
      <c r="L15" s="228"/>
      <c r="M15" s="17"/>
      <c r="N15" s="17"/>
      <c r="O15" s="17"/>
      <c r="P15" s="17"/>
      <c r="Q15" s="17"/>
      <c r="R15" s="17"/>
      <c r="S15" s="190" t="s">
        <v>30</v>
      </c>
      <c r="T15" s="242"/>
      <c r="U15" s="234"/>
    </row>
    <row r="16" spans="1:21" ht="13.5" customHeight="1" x14ac:dyDescent="0.2">
      <c r="A16" s="6"/>
      <c r="B16" s="212"/>
      <c r="C16" s="18" t="s">
        <v>32</v>
      </c>
      <c r="D16" s="9">
        <f>D15+1</f>
        <v>11</v>
      </c>
      <c r="E16" s="20"/>
      <c r="F16" s="20"/>
      <c r="G16" s="20"/>
      <c r="H16" s="20"/>
      <c r="I16" s="20"/>
      <c r="J16" s="20"/>
      <c r="K16" s="20"/>
      <c r="L16" s="20"/>
      <c r="M16" s="21"/>
      <c r="N16" s="21"/>
      <c r="O16" s="20"/>
      <c r="P16" s="20"/>
      <c r="Q16" s="20"/>
      <c r="R16" s="20"/>
      <c r="S16" s="21" t="s">
        <v>362</v>
      </c>
      <c r="T16" s="21"/>
      <c r="U16" s="234"/>
    </row>
    <row r="17" spans="1:21" ht="13.5" customHeight="1" x14ac:dyDescent="0.2">
      <c r="A17" s="6"/>
      <c r="B17" s="213"/>
      <c r="C17" s="18" t="s">
        <v>33</v>
      </c>
      <c r="D17" s="9">
        <f>D16+1</f>
        <v>12</v>
      </c>
      <c r="E17" s="20"/>
      <c r="F17" s="20"/>
      <c r="G17" s="20"/>
      <c r="H17" s="20"/>
      <c r="I17" s="20"/>
      <c r="J17" s="20"/>
      <c r="K17" s="20"/>
      <c r="L17" s="20"/>
      <c r="M17" s="21"/>
      <c r="N17" s="21"/>
      <c r="O17" s="20"/>
      <c r="P17" s="20"/>
      <c r="Q17" s="20"/>
      <c r="R17" s="20"/>
      <c r="S17" s="21" t="s">
        <v>362</v>
      </c>
      <c r="T17" s="21"/>
      <c r="U17" s="235"/>
    </row>
    <row r="18" spans="1:21" ht="12" customHeight="1" x14ac:dyDescent="0.2">
      <c r="A18" s="6"/>
      <c r="B18" s="208" t="s">
        <v>354</v>
      </c>
      <c r="C18" s="209"/>
      <c r="D18" s="210"/>
      <c r="E18" s="214" t="s">
        <v>2</v>
      </c>
      <c r="F18" s="215"/>
      <c r="G18" s="216"/>
      <c r="H18" s="96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7</v>
      </c>
      <c r="O18" s="77" t="s">
        <v>9</v>
      </c>
      <c r="P18" s="77" t="s">
        <v>10</v>
      </c>
      <c r="Q18" s="77" t="s">
        <v>11</v>
      </c>
      <c r="R18" s="77" t="s">
        <v>123</v>
      </c>
      <c r="S18" s="78" t="s">
        <v>12</v>
      </c>
      <c r="T18" s="178" t="s">
        <v>13</v>
      </c>
      <c r="U18" s="7"/>
    </row>
    <row r="19" spans="1:21" ht="19.899999999999999" customHeight="1" x14ac:dyDescent="0.2">
      <c r="A19" s="6"/>
      <c r="B19" s="211">
        <f>B11+1</f>
        <v>29</v>
      </c>
      <c r="C19" s="8" t="s">
        <v>14</v>
      </c>
      <c r="D19" s="9">
        <f>D16+2</f>
        <v>13</v>
      </c>
      <c r="E19" s="257" t="s">
        <v>355</v>
      </c>
      <c r="F19" s="10"/>
      <c r="G19" s="10"/>
      <c r="H19" s="10"/>
      <c r="I19" s="10"/>
      <c r="J19" s="10"/>
      <c r="K19" s="10"/>
      <c r="L19" s="14" t="s">
        <v>30</v>
      </c>
      <c r="M19" s="14" t="s">
        <v>30</v>
      </c>
      <c r="N19" s="14" t="s">
        <v>30</v>
      </c>
      <c r="O19" s="14" t="s">
        <v>30</v>
      </c>
      <c r="P19" s="10"/>
      <c r="Q19" s="187" t="s">
        <v>140</v>
      </c>
      <c r="R19" s="10"/>
      <c r="S19" s="191" t="s">
        <v>30</v>
      </c>
      <c r="T19" s="10"/>
      <c r="U19" s="233"/>
    </row>
    <row r="20" spans="1:21" ht="19.899999999999999" customHeight="1" x14ac:dyDescent="0.2">
      <c r="A20" s="6"/>
      <c r="B20" s="212"/>
      <c r="C20" s="11" t="s">
        <v>23</v>
      </c>
      <c r="D20" s="12">
        <f t="shared" ref="D20:D23" si="2">D19+1</f>
        <v>14</v>
      </c>
      <c r="E20" s="212"/>
      <c r="F20" s="13"/>
      <c r="G20" s="13"/>
      <c r="H20" s="13"/>
      <c r="I20" s="13"/>
      <c r="J20" s="193" t="s">
        <v>352</v>
      </c>
      <c r="K20" s="13"/>
      <c r="L20" s="14" t="s">
        <v>28</v>
      </c>
      <c r="M20" s="175" t="s">
        <v>28</v>
      </c>
      <c r="N20" s="14" t="s">
        <v>28</v>
      </c>
      <c r="O20" s="14" t="s">
        <v>28</v>
      </c>
      <c r="P20" s="14" t="s">
        <v>28</v>
      </c>
      <c r="Q20" s="14" t="s">
        <v>28</v>
      </c>
      <c r="R20" s="14" t="s">
        <v>28</v>
      </c>
      <c r="S20" s="14" t="s">
        <v>28</v>
      </c>
      <c r="T20" s="14" t="s">
        <v>28</v>
      </c>
      <c r="U20" s="234"/>
    </row>
    <row r="21" spans="1:21" ht="19.899999999999999" customHeight="1" x14ac:dyDescent="0.2">
      <c r="A21" s="6"/>
      <c r="B21" s="212"/>
      <c r="C21" s="11" t="s">
        <v>25</v>
      </c>
      <c r="D21" s="12">
        <f t="shared" si="2"/>
        <v>15</v>
      </c>
      <c r="E21" s="212"/>
      <c r="F21" s="13"/>
      <c r="G21" s="13"/>
      <c r="H21" s="13"/>
      <c r="I21" s="13"/>
      <c r="J21" s="13"/>
      <c r="K21" s="13"/>
      <c r="L21" s="113"/>
      <c r="M21" s="288" t="s">
        <v>360</v>
      </c>
      <c r="N21" s="115"/>
      <c r="O21" s="13"/>
      <c r="P21" s="13"/>
      <c r="Q21" s="286" t="s">
        <v>140</v>
      </c>
      <c r="R21" s="13"/>
      <c r="S21" s="224" t="s">
        <v>363</v>
      </c>
      <c r="T21" s="13"/>
      <c r="U21" s="234"/>
    </row>
    <row r="22" spans="1:21" ht="19.899999999999999" customHeight="1" x14ac:dyDescent="0.2">
      <c r="A22" s="6"/>
      <c r="B22" s="212"/>
      <c r="C22" s="11" t="s">
        <v>27</v>
      </c>
      <c r="D22" s="12">
        <f t="shared" si="2"/>
        <v>16</v>
      </c>
      <c r="E22" s="212"/>
      <c r="F22" s="13"/>
      <c r="G22" s="13"/>
      <c r="H22" s="13"/>
      <c r="I22" s="13"/>
      <c r="J22" s="13"/>
      <c r="K22" s="13"/>
      <c r="L22" s="113"/>
      <c r="M22" s="232"/>
      <c r="N22" s="115"/>
      <c r="O22" s="13"/>
      <c r="P22" s="13"/>
      <c r="Q22" s="227"/>
      <c r="R22" s="13"/>
      <c r="S22" s="225"/>
      <c r="T22" s="13"/>
      <c r="U22" s="234"/>
    </row>
    <row r="23" spans="1:21" ht="19.899999999999999" customHeight="1" x14ac:dyDescent="0.2">
      <c r="A23" s="6"/>
      <c r="B23" s="212"/>
      <c r="C23" s="15" t="s">
        <v>29</v>
      </c>
      <c r="D23" s="16">
        <f t="shared" si="2"/>
        <v>17</v>
      </c>
      <c r="E23" s="213"/>
      <c r="F23" s="17"/>
      <c r="G23" s="17"/>
      <c r="H23" s="17"/>
      <c r="I23" s="17"/>
      <c r="J23" s="17"/>
      <c r="K23" s="17"/>
      <c r="L23" s="119"/>
      <c r="M23" s="289"/>
      <c r="N23" s="173"/>
      <c r="O23" s="17"/>
      <c r="P23" s="17"/>
      <c r="Q23" s="228"/>
      <c r="R23" s="17"/>
      <c r="S23" s="17"/>
      <c r="T23" s="17"/>
      <c r="U23" s="234"/>
    </row>
    <row r="24" spans="1:21" ht="13.5" customHeight="1" x14ac:dyDescent="0.2">
      <c r="A24" s="6"/>
      <c r="B24" s="212"/>
      <c r="C24" s="18" t="s">
        <v>32</v>
      </c>
      <c r="D24" s="9">
        <v>18</v>
      </c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0"/>
      <c r="P24" s="20"/>
      <c r="Q24" s="20"/>
      <c r="R24" s="20"/>
      <c r="S24" s="20"/>
      <c r="T24" s="21"/>
      <c r="U24" s="234"/>
    </row>
    <row r="25" spans="1:21" ht="13.5" customHeight="1" x14ac:dyDescent="0.2">
      <c r="A25" s="6"/>
      <c r="B25" s="213"/>
      <c r="C25" s="18" t="s">
        <v>33</v>
      </c>
      <c r="D25" s="9">
        <v>19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0"/>
      <c r="P25" s="20"/>
      <c r="Q25" s="20"/>
      <c r="R25" s="20"/>
      <c r="S25" s="20"/>
      <c r="T25" s="21"/>
      <c r="U25" s="235"/>
    </row>
    <row r="26" spans="1:21" ht="12" customHeight="1" x14ac:dyDescent="0.2">
      <c r="A26" s="6"/>
      <c r="B26" s="208" t="s">
        <v>354</v>
      </c>
      <c r="C26" s="209"/>
      <c r="D26" s="210"/>
      <c r="E26" s="214" t="s">
        <v>2</v>
      </c>
      <c r="F26" s="215"/>
      <c r="G26" s="216"/>
      <c r="H26" s="96"/>
      <c r="I26" s="98" t="s">
        <v>3</v>
      </c>
      <c r="J26" s="98" t="s">
        <v>4</v>
      </c>
      <c r="K26" s="31"/>
      <c r="L26" s="77" t="s">
        <v>5</v>
      </c>
      <c r="M26" s="118" t="s">
        <v>6</v>
      </c>
      <c r="N26" s="77" t="s">
        <v>7</v>
      </c>
      <c r="O26" s="77" t="s">
        <v>9</v>
      </c>
      <c r="P26" s="77" t="s">
        <v>10</v>
      </c>
      <c r="Q26" s="77" t="s">
        <v>11</v>
      </c>
      <c r="R26" s="77" t="s">
        <v>123</v>
      </c>
      <c r="S26" s="111" t="s">
        <v>12</v>
      </c>
      <c r="T26" s="79" t="s">
        <v>13</v>
      </c>
      <c r="U26" s="7"/>
    </row>
    <row r="27" spans="1:21" ht="19.899999999999999" customHeight="1" x14ac:dyDescent="0.2">
      <c r="A27" s="6"/>
      <c r="B27" s="211">
        <f>B19+1</f>
        <v>30</v>
      </c>
      <c r="C27" s="8" t="s">
        <v>14</v>
      </c>
      <c r="D27" s="9">
        <f>D25+1</f>
        <v>20</v>
      </c>
      <c r="E27" s="257" t="s">
        <v>355</v>
      </c>
      <c r="F27" s="10"/>
      <c r="G27" s="10"/>
      <c r="H27" s="10"/>
      <c r="I27" s="10"/>
      <c r="J27" s="10"/>
      <c r="K27" s="10"/>
      <c r="L27" s="114"/>
      <c r="M27" s="288" t="s">
        <v>360</v>
      </c>
      <c r="N27" s="116"/>
      <c r="O27" s="10"/>
      <c r="P27" s="10"/>
      <c r="Q27" s="226" t="s">
        <v>140</v>
      </c>
      <c r="R27" s="10"/>
      <c r="S27" s="10"/>
      <c r="T27" s="10"/>
      <c r="U27" s="233"/>
    </row>
    <row r="28" spans="1:21" ht="19.899999999999999" customHeight="1" x14ac:dyDescent="0.2">
      <c r="A28" s="6"/>
      <c r="B28" s="212"/>
      <c r="C28" s="11" t="s">
        <v>23</v>
      </c>
      <c r="D28" s="12">
        <f t="shared" ref="D28:D31" si="3">D27+1</f>
        <v>21</v>
      </c>
      <c r="E28" s="212"/>
      <c r="F28" s="13"/>
      <c r="G28" s="13"/>
      <c r="H28" s="13"/>
      <c r="I28" s="13"/>
      <c r="J28" s="13"/>
      <c r="K28" s="13"/>
      <c r="L28" s="113"/>
      <c r="M28" s="232"/>
      <c r="N28" s="115"/>
      <c r="O28" s="13"/>
      <c r="P28" s="13"/>
      <c r="Q28" s="227"/>
      <c r="R28" s="13"/>
      <c r="S28" s="224" t="s">
        <v>364</v>
      </c>
      <c r="T28" s="13"/>
      <c r="U28" s="234"/>
    </row>
    <row r="29" spans="1:21" ht="19.899999999999999" customHeight="1" x14ac:dyDescent="0.2">
      <c r="A29" s="6"/>
      <c r="B29" s="212"/>
      <c r="C29" s="11" t="s">
        <v>25</v>
      </c>
      <c r="D29" s="12">
        <f t="shared" si="3"/>
        <v>22</v>
      </c>
      <c r="E29" s="212"/>
      <c r="F29" s="13"/>
      <c r="G29" s="13"/>
      <c r="H29" s="13"/>
      <c r="I29" s="13"/>
      <c r="J29" s="13"/>
      <c r="K29" s="13"/>
      <c r="L29" s="113"/>
      <c r="M29" s="232"/>
      <c r="N29" s="115"/>
      <c r="O29" s="13"/>
      <c r="P29" s="13"/>
      <c r="Q29" s="227"/>
      <c r="R29" s="13"/>
      <c r="S29" s="225"/>
      <c r="T29" s="13"/>
      <c r="U29" s="234"/>
    </row>
    <row r="30" spans="1:21" ht="19.899999999999999" customHeight="1" x14ac:dyDescent="0.2">
      <c r="A30" s="6"/>
      <c r="B30" s="212"/>
      <c r="C30" s="11" t="s">
        <v>27</v>
      </c>
      <c r="D30" s="12">
        <f t="shared" si="3"/>
        <v>23</v>
      </c>
      <c r="E30" s="212"/>
      <c r="F30" s="13"/>
      <c r="G30" s="13"/>
      <c r="H30" s="13"/>
      <c r="I30" s="13"/>
      <c r="J30" s="13"/>
      <c r="K30" s="13"/>
      <c r="L30" s="113"/>
      <c r="M30" s="232"/>
      <c r="N30" s="115"/>
      <c r="O30" s="13"/>
      <c r="P30" s="13"/>
      <c r="Q30" s="227"/>
      <c r="R30" s="13"/>
      <c r="S30" s="13"/>
      <c r="T30" s="13"/>
      <c r="U30" s="234"/>
    </row>
    <row r="31" spans="1:21" ht="19.899999999999999" customHeight="1" x14ac:dyDescent="0.2">
      <c r="A31" s="6"/>
      <c r="B31" s="212"/>
      <c r="C31" s="15" t="s">
        <v>29</v>
      </c>
      <c r="D31" s="16">
        <f t="shared" si="3"/>
        <v>24</v>
      </c>
      <c r="E31" s="213"/>
      <c r="F31" s="17"/>
      <c r="G31" s="17"/>
      <c r="H31" s="17"/>
      <c r="I31" s="17"/>
      <c r="J31" s="17"/>
      <c r="K31" s="17"/>
      <c r="L31" s="119"/>
      <c r="M31" s="289"/>
      <c r="N31" s="173"/>
      <c r="O31" s="17"/>
      <c r="P31" s="17"/>
      <c r="Q31" s="228"/>
      <c r="R31" s="17"/>
      <c r="S31" s="17"/>
      <c r="T31" s="17"/>
      <c r="U31" s="234"/>
    </row>
    <row r="32" spans="1:21" ht="13.5" customHeight="1" x14ac:dyDescent="0.2">
      <c r="A32" s="6"/>
      <c r="B32" s="212"/>
      <c r="C32" s="18" t="s">
        <v>32</v>
      </c>
      <c r="D32" s="16">
        <f>D31+1</f>
        <v>25</v>
      </c>
      <c r="E32" s="20"/>
      <c r="F32" s="217" t="s">
        <v>365</v>
      </c>
      <c r="G32" s="20"/>
      <c r="H32" s="20"/>
      <c r="I32" s="20"/>
      <c r="J32" s="20"/>
      <c r="K32" s="20"/>
      <c r="L32" s="20"/>
      <c r="M32" s="21"/>
      <c r="N32" s="21"/>
      <c r="O32" s="20"/>
      <c r="P32" s="224" t="s">
        <v>337</v>
      </c>
      <c r="Q32" s="20"/>
      <c r="R32" s="20"/>
      <c r="S32" s="21"/>
      <c r="T32" s="21"/>
      <c r="U32" s="234"/>
    </row>
    <row r="33" spans="1:21" ht="13.5" customHeight="1" x14ac:dyDescent="0.2">
      <c r="A33" s="6"/>
      <c r="B33" s="213"/>
      <c r="C33" s="18" t="s">
        <v>33</v>
      </c>
      <c r="D33" s="16">
        <f>D32+1</f>
        <v>26</v>
      </c>
      <c r="E33" s="20"/>
      <c r="F33" s="229"/>
      <c r="G33" s="20"/>
      <c r="H33" s="20"/>
      <c r="I33" s="20"/>
      <c r="J33" s="20"/>
      <c r="K33" s="20"/>
      <c r="L33" s="20"/>
      <c r="M33" s="21"/>
      <c r="N33" s="21"/>
      <c r="O33" s="20"/>
      <c r="P33" s="242" t="s">
        <v>337</v>
      </c>
      <c r="Q33" s="20"/>
      <c r="R33" s="20"/>
      <c r="S33" s="21"/>
      <c r="T33" s="21"/>
      <c r="U33" s="235"/>
    </row>
    <row r="34" spans="1:21" ht="12" customHeight="1" x14ac:dyDescent="0.2">
      <c r="A34" s="6"/>
      <c r="B34" s="208" t="s">
        <v>366</v>
      </c>
      <c r="C34" s="209"/>
      <c r="D34" s="210"/>
      <c r="E34" s="214" t="s">
        <v>2</v>
      </c>
      <c r="F34" s="215"/>
      <c r="G34" s="216"/>
      <c r="H34" s="96"/>
      <c r="I34" s="98" t="s">
        <v>3</v>
      </c>
      <c r="J34" s="98" t="s">
        <v>4</v>
      </c>
      <c r="K34" s="31"/>
      <c r="L34" s="77" t="s">
        <v>5</v>
      </c>
      <c r="M34" s="118" t="s">
        <v>6</v>
      </c>
      <c r="N34" s="77" t="s">
        <v>7</v>
      </c>
      <c r="O34" s="77" t="s">
        <v>9</v>
      </c>
      <c r="P34" s="77" t="s">
        <v>10</v>
      </c>
      <c r="Q34" s="77" t="s">
        <v>11</v>
      </c>
      <c r="R34" s="77" t="s">
        <v>123</v>
      </c>
      <c r="S34" s="78" t="s">
        <v>12</v>
      </c>
      <c r="T34" s="79" t="s">
        <v>13</v>
      </c>
      <c r="U34" s="7"/>
    </row>
    <row r="35" spans="1:21" ht="19.899999999999999" customHeight="1" x14ac:dyDescent="0.2">
      <c r="A35" s="6"/>
      <c r="B35" s="211">
        <f>B27+1</f>
        <v>31</v>
      </c>
      <c r="C35" s="8" t="s">
        <v>14</v>
      </c>
      <c r="D35" s="9">
        <f>D33+1</f>
        <v>27</v>
      </c>
      <c r="E35" s="257" t="s">
        <v>355</v>
      </c>
      <c r="F35" s="10"/>
      <c r="G35" s="10"/>
      <c r="H35" s="10"/>
      <c r="I35" s="10"/>
      <c r="J35" s="10"/>
      <c r="K35" s="10"/>
      <c r="L35" s="114"/>
      <c r="M35" s="288" t="s">
        <v>360</v>
      </c>
      <c r="N35" s="116"/>
      <c r="O35" s="10"/>
      <c r="P35" s="10"/>
      <c r="Q35" s="226" t="s">
        <v>140</v>
      </c>
      <c r="R35" s="10"/>
      <c r="S35" s="10"/>
      <c r="T35" s="10"/>
      <c r="U35" s="233" t="s">
        <v>129</v>
      </c>
    </row>
    <row r="36" spans="1:21" ht="19.899999999999999" customHeight="1" x14ac:dyDescent="0.2">
      <c r="A36" s="6"/>
      <c r="B36" s="212"/>
      <c r="C36" s="11" t="s">
        <v>23</v>
      </c>
      <c r="D36" s="12">
        <f t="shared" ref="D36:D38" si="4">D35+1</f>
        <v>28</v>
      </c>
      <c r="E36" s="212"/>
      <c r="F36" s="13"/>
      <c r="G36" s="13"/>
      <c r="H36" s="13"/>
      <c r="I36" s="13"/>
      <c r="J36" s="13"/>
      <c r="K36" s="13"/>
      <c r="L36" s="113"/>
      <c r="M36" s="232"/>
      <c r="N36" s="115"/>
      <c r="O36" s="13"/>
      <c r="P36" s="13"/>
      <c r="Q36" s="227"/>
      <c r="R36" s="13"/>
      <c r="S36" s="13"/>
      <c r="T36" s="13"/>
      <c r="U36" s="234"/>
    </row>
    <row r="37" spans="1:21" ht="19.899999999999999" customHeight="1" x14ac:dyDescent="0.2">
      <c r="A37" s="6"/>
      <c r="B37" s="212"/>
      <c r="C37" s="11" t="s">
        <v>25</v>
      </c>
      <c r="D37" s="12">
        <f t="shared" si="4"/>
        <v>29</v>
      </c>
      <c r="E37" s="212"/>
      <c r="F37" s="13"/>
      <c r="G37" s="13"/>
      <c r="H37" s="13"/>
      <c r="I37" s="13"/>
      <c r="J37" s="13"/>
      <c r="K37" s="13"/>
      <c r="L37" s="113"/>
      <c r="M37" s="232"/>
      <c r="N37" s="115"/>
      <c r="O37" s="13"/>
      <c r="P37" s="13"/>
      <c r="Q37" s="227"/>
      <c r="R37" s="13"/>
      <c r="S37" s="13"/>
      <c r="T37" s="13"/>
      <c r="U37" s="234"/>
    </row>
    <row r="38" spans="1:21" ht="19.899999999999999" customHeight="1" x14ac:dyDescent="0.2">
      <c r="A38" s="6"/>
      <c r="B38" s="212"/>
      <c r="C38" s="11" t="s">
        <v>27</v>
      </c>
      <c r="D38" s="12">
        <f t="shared" si="4"/>
        <v>30</v>
      </c>
      <c r="E38" s="212"/>
      <c r="F38" s="13"/>
      <c r="G38" s="13"/>
      <c r="H38" s="13"/>
      <c r="I38" s="13"/>
      <c r="J38" s="13"/>
      <c r="K38" s="13"/>
      <c r="L38" s="113"/>
      <c r="M38" s="232"/>
      <c r="N38" s="115"/>
      <c r="O38" s="13"/>
      <c r="P38" s="13"/>
      <c r="Q38" s="227"/>
      <c r="R38" s="13"/>
      <c r="S38" s="13"/>
      <c r="T38" s="13"/>
      <c r="U38" s="234"/>
    </row>
    <row r="39" spans="1:21" ht="19.899999999999999" customHeight="1" x14ac:dyDescent="0.2">
      <c r="A39" s="6"/>
      <c r="B39" s="212"/>
      <c r="C39" s="15" t="s">
        <v>29</v>
      </c>
      <c r="D39" s="12">
        <f>D38+1</f>
        <v>31</v>
      </c>
      <c r="E39" s="213"/>
      <c r="F39" s="17"/>
      <c r="G39" s="17"/>
      <c r="H39" s="17"/>
      <c r="I39" s="17"/>
      <c r="J39" s="17"/>
      <c r="K39" s="17"/>
      <c r="L39" s="119"/>
      <c r="M39" s="289"/>
      <c r="N39" s="173"/>
      <c r="O39" s="17"/>
      <c r="P39" s="17"/>
      <c r="Q39" s="228"/>
      <c r="R39" s="17"/>
      <c r="S39" s="190" t="s">
        <v>30</v>
      </c>
      <c r="T39" s="17"/>
      <c r="U39" s="234"/>
    </row>
    <row r="40" spans="1:21" ht="13.5" customHeight="1" x14ac:dyDescent="0.2">
      <c r="A40" s="6"/>
      <c r="B40" s="212"/>
      <c r="C40" s="18" t="s">
        <v>32</v>
      </c>
      <c r="D40" s="19">
        <v>1</v>
      </c>
      <c r="E40" s="20"/>
      <c r="F40" s="20"/>
      <c r="G40" s="20"/>
      <c r="H40" s="20"/>
      <c r="I40" s="20"/>
      <c r="J40" s="20"/>
      <c r="K40" s="20"/>
      <c r="L40" s="20"/>
      <c r="M40" s="21"/>
      <c r="N40" s="21"/>
      <c r="O40" s="20"/>
      <c r="P40" s="20"/>
      <c r="Q40" s="20"/>
      <c r="R40" s="20"/>
      <c r="S40" s="21"/>
      <c r="T40" s="21"/>
      <c r="U40" s="234"/>
    </row>
    <row r="41" spans="1:21" ht="13.5" customHeight="1" x14ac:dyDescent="0.2">
      <c r="A41" s="6"/>
      <c r="B41" s="213"/>
      <c r="C41" s="18" t="s">
        <v>33</v>
      </c>
      <c r="D41" s="19">
        <v>2</v>
      </c>
      <c r="E41" s="20"/>
      <c r="F41" s="20"/>
      <c r="G41" s="20"/>
      <c r="H41" s="20"/>
      <c r="I41" s="20"/>
      <c r="J41" s="20"/>
      <c r="K41" s="20"/>
      <c r="L41" s="20"/>
      <c r="M41" s="21"/>
      <c r="N41" s="21"/>
      <c r="O41" s="20"/>
      <c r="P41" s="20"/>
      <c r="Q41" s="20"/>
      <c r="R41" s="20"/>
      <c r="S41" s="21"/>
      <c r="T41" s="21"/>
      <c r="U41" s="235"/>
    </row>
  </sheetData>
  <mergeCells count="44">
    <mergeCell ref="T11:T12"/>
    <mergeCell ref="P32:P33"/>
    <mergeCell ref="M21:M23"/>
    <mergeCell ref="G11:G13"/>
    <mergeCell ref="U35:U41"/>
    <mergeCell ref="Q35:Q39"/>
    <mergeCell ref="Q27:Q31"/>
    <mergeCell ref="M27:M31"/>
    <mergeCell ref="M35:M39"/>
    <mergeCell ref="U11:U17"/>
    <mergeCell ref="U19:U25"/>
    <mergeCell ref="R11:R13"/>
    <mergeCell ref="L11:L15"/>
    <mergeCell ref="S21:S22"/>
    <mergeCell ref="T14:T15"/>
    <mergeCell ref="S28:S29"/>
    <mergeCell ref="U27:U33"/>
    <mergeCell ref="Q21:Q23"/>
    <mergeCell ref="B34:D34"/>
    <mergeCell ref="B35:B41"/>
    <mergeCell ref="E35:E39"/>
    <mergeCell ref="E26:G26"/>
    <mergeCell ref="E34:G34"/>
    <mergeCell ref="B26:D26"/>
    <mergeCell ref="B27:B33"/>
    <mergeCell ref="E27:E31"/>
    <mergeCell ref="F32:F33"/>
    <mergeCell ref="B10:D10"/>
    <mergeCell ref="B11:B17"/>
    <mergeCell ref="E11:E15"/>
    <mergeCell ref="B18:D18"/>
    <mergeCell ref="E19:E23"/>
    <mergeCell ref="E10:G10"/>
    <mergeCell ref="E18:G18"/>
    <mergeCell ref="B19:B25"/>
    <mergeCell ref="F11:F15"/>
    <mergeCell ref="B2:D2"/>
    <mergeCell ref="B3:B9"/>
    <mergeCell ref="U3:U9"/>
    <mergeCell ref="E2:G2"/>
    <mergeCell ref="L3:L7"/>
    <mergeCell ref="Q5:Q6"/>
    <mergeCell ref="S3:S7"/>
    <mergeCell ref="T5:T6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3"/>
  <sheetViews>
    <sheetView showGridLines="0" workbookViewId="0">
      <pane xSplit="4" topLeftCell="I1" activePane="topRight" state="frozen"/>
      <selection activeCell="T19" sqref="T19:T25"/>
      <selection pane="topRight" activeCell="T19" sqref="T19:T25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0.40234375" customWidth="1"/>
    <col min="12" max="20" width="15.73828125" customWidth="1"/>
    <col min="21" max="21" width="2.95703125" customWidth="1"/>
  </cols>
  <sheetData>
    <row r="1" spans="1:21" ht="9.75" customHeight="1" x14ac:dyDescent="0.2">
      <c r="A1" s="26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ht="12" customHeight="1" x14ac:dyDescent="0.2">
      <c r="A2" s="6"/>
      <c r="B2" s="208" t="s">
        <v>367</v>
      </c>
      <c r="C2" s="209"/>
      <c r="D2" s="210"/>
      <c r="E2" s="214" t="s">
        <v>2</v>
      </c>
      <c r="F2" s="215"/>
      <c r="G2" s="216"/>
      <c r="H2" s="96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7</v>
      </c>
      <c r="O2" s="77" t="s">
        <v>9</v>
      </c>
      <c r="P2" s="77" t="s">
        <v>10</v>
      </c>
      <c r="Q2" s="77" t="s">
        <v>11</v>
      </c>
      <c r="R2" s="77" t="s">
        <v>123</v>
      </c>
      <c r="S2" s="78" t="s">
        <v>12</v>
      </c>
      <c r="T2" s="79" t="s">
        <v>13</v>
      </c>
      <c r="U2" s="7"/>
    </row>
    <row r="3" spans="1:21" ht="19.899999999999999" customHeight="1" x14ac:dyDescent="0.2">
      <c r="A3" s="6"/>
      <c r="B3" s="211">
        <v>32</v>
      </c>
      <c r="C3" s="8" t="s">
        <v>14</v>
      </c>
      <c r="D3" s="12">
        <v>3</v>
      </c>
      <c r="E3" s="257" t="s">
        <v>355</v>
      </c>
      <c r="F3" s="10"/>
      <c r="G3" s="10"/>
      <c r="H3" s="10"/>
      <c r="I3" s="10"/>
      <c r="J3" s="10"/>
      <c r="K3" s="10"/>
      <c r="L3" s="10"/>
      <c r="M3" s="10"/>
      <c r="N3" s="10"/>
      <c r="O3" s="290" t="s">
        <v>368</v>
      </c>
      <c r="P3" s="10"/>
      <c r="Q3" s="10"/>
      <c r="R3" s="10"/>
      <c r="S3" s="254" t="s">
        <v>369</v>
      </c>
      <c r="T3" s="10"/>
      <c r="U3" s="233" t="s">
        <v>211</v>
      </c>
    </row>
    <row r="4" spans="1:21" ht="19.899999999999999" customHeight="1" x14ac:dyDescent="0.2">
      <c r="A4" s="6"/>
      <c r="B4" s="212"/>
      <c r="C4" s="11" t="s">
        <v>23</v>
      </c>
      <c r="D4" s="12">
        <f t="shared" ref="D4:D6" si="0">D3+1</f>
        <v>4</v>
      </c>
      <c r="E4" s="212"/>
      <c r="F4" s="13"/>
      <c r="G4" s="13"/>
      <c r="H4" s="13"/>
      <c r="I4" s="13"/>
      <c r="J4" s="13"/>
      <c r="K4" s="13"/>
      <c r="L4" s="13"/>
      <c r="M4" s="13"/>
      <c r="N4" s="13"/>
      <c r="O4" s="291"/>
      <c r="P4" s="13"/>
      <c r="Q4" s="13"/>
      <c r="R4" s="13"/>
      <c r="S4" s="255"/>
      <c r="T4" s="13"/>
      <c r="U4" s="234"/>
    </row>
    <row r="5" spans="1:21" ht="19.899999999999999" customHeight="1" x14ac:dyDescent="0.2">
      <c r="A5" s="6"/>
      <c r="B5" s="212"/>
      <c r="C5" s="11" t="s">
        <v>25</v>
      </c>
      <c r="D5" s="12">
        <f t="shared" si="0"/>
        <v>5</v>
      </c>
      <c r="E5" s="212"/>
      <c r="F5" s="13"/>
      <c r="G5" s="13"/>
      <c r="H5" s="13"/>
      <c r="I5" s="13"/>
      <c r="J5" s="13"/>
      <c r="K5" s="13"/>
      <c r="L5" s="13"/>
      <c r="M5" s="13"/>
      <c r="N5" s="13"/>
      <c r="O5" s="291"/>
      <c r="P5" s="13"/>
      <c r="Q5" s="13"/>
      <c r="R5" s="13"/>
      <c r="S5" s="255"/>
      <c r="T5" s="13"/>
      <c r="U5" s="234"/>
    </row>
    <row r="6" spans="1:21" ht="19.899999999999999" customHeight="1" x14ac:dyDescent="0.2">
      <c r="A6" s="6"/>
      <c r="B6" s="212"/>
      <c r="C6" s="11" t="s">
        <v>27</v>
      </c>
      <c r="D6" s="12">
        <f t="shared" si="0"/>
        <v>6</v>
      </c>
      <c r="E6" s="212"/>
      <c r="F6" s="13"/>
      <c r="G6" s="13"/>
      <c r="H6" s="13"/>
      <c r="I6" s="13"/>
      <c r="J6" s="13"/>
      <c r="K6" s="13"/>
      <c r="L6" s="13"/>
      <c r="M6" s="13"/>
      <c r="N6" s="13"/>
      <c r="O6" s="291"/>
      <c r="P6" s="13"/>
      <c r="Q6" s="13"/>
      <c r="R6" s="13"/>
      <c r="S6" s="255"/>
      <c r="T6" s="13"/>
      <c r="U6" s="234"/>
    </row>
    <row r="7" spans="1:21" ht="19.899999999999999" customHeight="1" x14ac:dyDescent="0.2">
      <c r="A7" s="6"/>
      <c r="B7" s="212"/>
      <c r="C7" s="15" t="s">
        <v>29</v>
      </c>
      <c r="D7" s="16">
        <f t="shared" ref="D7" si="1">D6+1</f>
        <v>7</v>
      </c>
      <c r="E7" s="213"/>
      <c r="F7" s="17"/>
      <c r="G7" s="17"/>
      <c r="H7" s="17"/>
      <c r="I7" s="17"/>
      <c r="J7" s="17"/>
      <c r="K7" s="17"/>
      <c r="L7" s="17"/>
      <c r="M7" s="17"/>
      <c r="N7" s="17"/>
      <c r="O7" s="291"/>
      <c r="P7" s="17"/>
      <c r="Q7" s="17"/>
      <c r="R7" s="17"/>
      <c r="S7" s="256"/>
      <c r="T7" s="17"/>
      <c r="U7" s="234"/>
    </row>
    <row r="8" spans="1:21" ht="13.5" customHeight="1" x14ac:dyDescent="0.2">
      <c r="A8" s="6"/>
      <c r="B8" s="212"/>
      <c r="C8" s="18" t="s">
        <v>32</v>
      </c>
      <c r="D8" s="23">
        <f>D7+1</f>
        <v>8</v>
      </c>
      <c r="E8" s="20"/>
      <c r="F8" s="20"/>
      <c r="G8" s="20"/>
      <c r="H8" s="20"/>
      <c r="I8" s="20"/>
      <c r="J8" s="20"/>
      <c r="K8" s="20"/>
      <c r="L8" s="20"/>
      <c r="M8" s="20"/>
      <c r="N8" s="21"/>
      <c r="O8" s="21"/>
      <c r="P8" s="21"/>
      <c r="Q8" s="20"/>
      <c r="R8" s="20"/>
      <c r="S8" s="21"/>
      <c r="T8" s="21"/>
      <c r="U8" s="234"/>
    </row>
    <row r="9" spans="1:21" ht="13.5" customHeight="1" x14ac:dyDescent="0.2">
      <c r="A9" s="6"/>
      <c r="B9" s="213"/>
      <c r="C9" s="18" t="s">
        <v>33</v>
      </c>
      <c r="D9" s="23">
        <f>D8+1</f>
        <v>9</v>
      </c>
      <c r="E9" s="20"/>
      <c r="F9" s="20"/>
      <c r="G9" s="20"/>
      <c r="H9" s="20"/>
      <c r="I9" s="20"/>
      <c r="J9" s="20"/>
      <c r="K9" s="20"/>
      <c r="L9" s="20"/>
      <c r="M9" s="20"/>
      <c r="N9" s="21"/>
      <c r="O9" s="21"/>
      <c r="P9" s="21"/>
      <c r="Q9" s="20"/>
      <c r="R9" s="20"/>
      <c r="S9" s="21"/>
      <c r="T9" s="21"/>
      <c r="U9" s="235"/>
    </row>
    <row r="10" spans="1:21" ht="12" customHeight="1" x14ac:dyDescent="0.2">
      <c r="A10" s="6"/>
      <c r="B10" s="208" t="s">
        <v>367</v>
      </c>
      <c r="C10" s="209"/>
      <c r="D10" s="210"/>
      <c r="E10" s="214" t="s">
        <v>2</v>
      </c>
      <c r="F10" s="215"/>
      <c r="G10" s="216"/>
      <c r="H10" s="96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7</v>
      </c>
      <c r="O10" s="77" t="s">
        <v>9</v>
      </c>
      <c r="P10" s="77" t="s">
        <v>10</v>
      </c>
      <c r="Q10" s="112" t="s">
        <v>11</v>
      </c>
      <c r="R10" s="77" t="s">
        <v>123</v>
      </c>
      <c r="S10" s="78" t="s">
        <v>12</v>
      </c>
      <c r="T10" s="79" t="s">
        <v>13</v>
      </c>
      <c r="U10" s="7"/>
    </row>
    <row r="11" spans="1:21" ht="19.899999999999999" customHeight="1" x14ac:dyDescent="0.2">
      <c r="A11" s="6"/>
      <c r="B11" s="211">
        <f>B3+1</f>
        <v>33</v>
      </c>
      <c r="C11" s="8" t="s">
        <v>14</v>
      </c>
      <c r="D11" s="9">
        <f>D9+1</f>
        <v>10</v>
      </c>
      <c r="E11" s="257" t="s">
        <v>355</v>
      </c>
      <c r="F11" s="10"/>
      <c r="G11" s="10"/>
      <c r="H11" s="10"/>
      <c r="I11" s="10"/>
      <c r="J11" s="10"/>
      <c r="K11" s="10"/>
      <c r="L11" s="10"/>
      <c r="M11" s="10"/>
      <c r="N11" s="10"/>
      <c r="O11" s="290" t="s">
        <v>368</v>
      </c>
      <c r="P11" s="10"/>
      <c r="Q11" s="10"/>
      <c r="R11" s="10"/>
      <c r="S11" s="254" t="s">
        <v>369</v>
      </c>
      <c r="T11" s="254" t="s">
        <v>369</v>
      </c>
      <c r="U11" s="233"/>
    </row>
    <row r="12" spans="1:21" ht="19.899999999999999" customHeight="1" x14ac:dyDescent="0.2">
      <c r="A12" s="6"/>
      <c r="B12" s="212"/>
      <c r="C12" s="11" t="s">
        <v>23</v>
      </c>
      <c r="D12" s="12">
        <f>D11+1</f>
        <v>11</v>
      </c>
      <c r="E12" s="212"/>
      <c r="F12" s="13"/>
      <c r="G12" s="13"/>
      <c r="H12" s="13"/>
      <c r="I12" s="13"/>
      <c r="J12" s="13"/>
      <c r="K12" s="13"/>
      <c r="L12" s="13"/>
      <c r="M12" s="13"/>
      <c r="N12" s="13"/>
      <c r="O12" s="291"/>
      <c r="P12" s="13"/>
      <c r="Q12" s="13"/>
      <c r="R12" s="13"/>
      <c r="S12" s="255"/>
      <c r="T12" s="255"/>
      <c r="U12" s="234"/>
    </row>
    <row r="13" spans="1:21" ht="19.899999999999999" customHeight="1" x14ac:dyDescent="0.2">
      <c r="A13" s="6"/>
      <c r="B13" s="212"/>
      <c r="C13" s="11" t="s">
        <v>25</v>
      </c>
      <c r="D13" s="12">
        <f t="shared" ref="D13:D15" si="2">D12+1</f>
        <v>12</v>
      </c>
      <c r="E13" s="212"/>
      <c r="F13" s="13"/>
      <c r="G13" s="13"/>
      <c r="H13" s="13"/>
      <c r="I13" s="13"/>
      <c r="J13" s="13"/>
      <c r="K13" s="13"/>
      <c r="L13" s="13"/>
      <c r="M13" s="13"/>
      <c r="N13" s="13"/>
      <c r="O13" s="291"/>
      <c r="P13" s="13"/>
      <c r="Q13" s="13"/>
      <c r="R13" s="13"/>
      <c r="S13" s="255"/>
      <c r="T13" s="255"/>
      <c r="U13" s="234"/>
    </row>
    <row r="14" spans="1:21" ht="19.899999999999999" customHeight="1" x14ac:dyDescent="0.2">
      <c r="A14" s="6"/>
      <c r="B14" s="212"/>
      <c r="C14" s="11" t="s">
        <v>27</v>
      </c>
      <c r="D14" s="12">
        <f t="shared" si="2"/>
        <v>13</v>
      </c>
      <c r="E14" s="212"/>
      <c r="F14" s="13"/>
      <c r="G14" s="13"/>
      <c r="H14" s="13"/>
      <c r="I14" s="13"/>
      <c r="J14" s="13"/>
      <c r="K14" s="13"/>
      <c r="L14" s="13"/>
      <c r="M14" s="13"/>
      <c r="N14" s="13"/>
      <c r="O14" s="291"/>
      <c r="P14" s="13"/>
      <c r="Q14" s="13"/>
      <c r="R14" s="13"/>
      <c r="S14" s="255"/>
      <c r="T14" s="255"/>
      <c r="U14" s="234"/>
    </row>
    <row r="15" spans="1:21" ht="19.899999999999999" customHeight="1" x14ac:dyDescent="0.2">
      <c r="A15" s="6"/>
      <c r="B15" s="212"/>
      <c r="C15" s="15" t="s">
        <v>29</v>
      </c>
      <c r="D15" s="16">
        <f t="shared" si="2"/>
        <v>14</v>
      </c>
      <c r="E15" s="213"/>
      <c r="F15" s="17"/>
      <c r="G15" s="17"/>
      <c r="H15" s="17"/>
      <c r="I15" s="17"/>
      <c r="J15" s="17"/>
      <c r="K15" s="17"/>
      <c r="L15" s="17"/>
      <c r="M15" s="17"/>
      <c r="N15" s="17"/>
      <c r="O15" s="291"/>
      <c r="P15" s="17"/>
      <c r="Q15" s="17"/>
      <c r="R15" s="17"/>
      <c r="S15" s="256"/>
      <c r="T15" s="256"/>
      <c r="U15" s="234"/>
    </row>
    <row r="16" spans="1:21" ht="13.5" customHeight="1" x14ac:dyDescent="0.2">
      <c r="A16" s="6"/>
      <c r="B16" s="212"/>
      <c r="C16" s="18" t="s">
        <v>32</v>
      </c>
      <c r="D16" s="23">
        <f>D15+1</f>
        <v>15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1"/>
      <c r="U16" s="234"/>
    </row>
    <row r="17" spans="1:21" ht="13.5" customHeight="1" x14ac:dyDescent="0.2">
      <c r="A17" s="6"/>
      <c r="B17" s="213"/>
      <c r="C17" s="18" t="s">
        <v>33</v>
      </c>
      <c r="D17" s="23">
        <f>D16+1</f>
        <v>16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21"/>
      <c r="U17" s="235"/>
    </row>
    <row r="18" spans="1:21" ht="12" customHeight="1" x14ac:dyDescent="0.2">
      <c r="A18" s="6"/>
      <c r="B18" s="208" t="s">
        <v>367</v>
      </c>
      <c r="C18" s="209"/>
      <c r="D18" s="210"/>
      <c r="E18" s="214" t="s">
        <v>2</v>
      </c>
      <c r="F18" s="215"/>
      <c r="G18" s="216"/>
      <c r="H18" s="96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7</v>
      </c>
      <c r="O18" s="77" t="s">
        <v>9</v>
      </c>
      <c r="P18" s="77" t="s">
        <v>10</v>
      </c>
      <c r="Q18" s="77" t="s">
        <v>11</v>
      </c>
      <c r="R18" s="112" t="s">
        <v>123</v>
      </c>
      <c r="S18" s="78" t="s">
        <v>12</v>
      </c>
      <c r="T18" s="79" t="s">
        <v>13</v>
      </c>
      <c r="U18" s="7"/>
    </row>
    <row r="19" spans="1:21" ht="19.899999999999999" customHeight="1" x14ac:dyDescent="0.2">
      <c r="A19" s="6"/>
      <c r="B19" s="211">
        <f>B11+1</f>
        <v>34</v>
      </c>
      <c r="C19" s="8" t="s">
        <v>14</v>
      </c>
      <c r="D19" s="9">
        <f>D17+1</f>
        <v>17</v>
      </c>
      <c r="E19" s="257" t="s">
        <v>355</v>
      </c>
      <c r="F19" s="10"/>
      <c r="G19" s="10"/>
      <c r="H19" s="10"/>
      <c r="I19" s="10"/>
      <c r="J19" s="10"/>
      <c r="K19" s="10"/>
      <c r="L19" s="10"/>
      <c r="M19" s="10"/>
      <c r="N19" s="10"/>
      <c r="O19" s="290" t="s">
        <v>368</v>
      </c>
      <c r="P19" s="10"/>
      <c r="Q19" s="10"/>
      <c r="R19" s="10"/>
      <c r="S19" s="254" t="s">
        <v>369</v>
      </c>
      <c r="T19" s="254" t="s">
        <v>369</v>
      </c>
      <c r="U19" s="233"/>
    </row>
    <row r="20" spans="1:21" ht="19.899999999999999" customHeight="1" x14ac:dyDescent="0.2">
      <c r="A20" s="6"/>
      <c r="B20" s="212"/>
      <c r="C20" s="11" t="s">
        <v>23</v>
      </c>
      <c r="D20" s="12">
        <f t="shared" ref="D20:D23" si="3">D19+1</f>
        <v>18</v>
      </c>
      <c r="E20" s="212"/>
      <c r="F20" s="13"/>
      <c r="G20" s="13"/>
      <c r="H20" s="13"/>
      <c r="I20" s="13"/>
      <c r="J20" s="13"/>
      <c r="K20" s="13"/>
      <c r="L20" s="13"/>
      <c r="M20" s="13"/>
      <c r="N20" s="13"/>
      <c r="O20" s="291"/>
      <c r="P20" s="13"/>
      <c r="Q20" s="13"/>
      <c r="R20" s="13"/>
      <c r="S20" s="255"/>
      <c r="T20" s="255"/>
      <c r="U20" s="234"/>
    </row>
    <row r="21" spans="1:21" ht="19.899999999999999" customHeight="1" x14ac:dyDescent="0.2">
      <c r="A21" s="6"/>
      <c r="B21" s="212"/>
      <c r="C21" s="11" t="s">
        <v>25</v>
      </c>
      <c r="D21" s="12">
        <f t="shared" si="3"/>
        <v>19</v>
      </c>
      <c r="E21" s="212"/>
      <c r="F21" s="13"/>
      <c r="G21" s="13"/>
      <c r="H21" s="13"/>
      <c r="I21" s="13"/>
      <c r="J21" s="13"/>
      <c r="K21" s="13"/>
      <c r="L21" s="13"/>
      <c r="M21" s="13"/>
      <c r="N21" s="13"/>
      <c r="O21" s="291"/>
      <c r="P21" s="13"/>
      <c r="Q21" s="13"/>
      <c r="R21" s="13"/>
      <c r="S21" s="255"/>
      <c r="T21" s="255"/>
      <c r="U21" s="234"/>
    </row>
    <row r="22" spans="1:21" ht="19.899999999999999" customHeight="1" x14ac:dyDescent="0.2">
      <c r="A22" s="6"/>
      <c r="B22" s="212"/>
      <c r="C22" s="11" t="s">
        <v>27</v>
      </c>
      <c r="D22" s="12">
        <f t="shared" si="3"/>
        <v>20</v>
      </c>
      <c r="E22" s="212"/>
      <c r="F22" s="13"/>
      <c r="G22" s="13"/>
      <c r="H22" s="13"/>
      <c r="I22" s="13"/>
      <c r="J22" s="13"/>
      <c r="K22" s="13"/>
      <c r="L22" s="13"/>
      <c r="M22" s="13"/>
      <c r="N22" s="13"/>
      <c r="O22" s="291"/>
      <c r="P22" s="13"/>
      <c r="Q22" s="13"/>
      <c r="R22" s="13"/>
      <c r="S22" s="255"/>
      <c r="T22" s="255"/>
      <c r="U22" s="234"/>
    </row>
    <row r="23" spans="1:21" ht="19.899999999999999" customHeight="1" x14ac:dyDescent="0.2">
      <c r="A23" s="6"/>
      <c r="B23" s="212"/>
      <c r="C23" s="15" t="s">
        <v>29</v>
      </c>
      <c r="D23" s="16">
        <f t="shared" si="3"/>
        <v>21</v>
      </c>
      <c r="E23" s="213"/>
      <c r="F23" s="17"/>
      <c r="G23" s="17"/>
      <c r="H23" s="17"/>
      <c r="I23" s="17"/>
      <c r="J23" s="17"/>
      <c r="K23" s="17"/>
      <c r="L23" s="17"/>
      <c r="M23" s="17"/>
      <c r="N23" s="17"/>
      <c r="O23" s="291"/>
      <c r="P23" s="17"/>
      <c r="Q23" s="17"/>
      <c r="R23" s="17"/>
      <c r="S23" s="256"/>
      <c r="T23" s="256"/>
      <c r="U23" s="234"/>
    </row>
    <row r="24" spans="1:21" ht="13.5" customHeight="1" x14ac:dyDescent="0.2">
      <c r="A24" s="6"/>
      <c r="B24" s="212"/>
      <c r="C24" s="18" t="s">
        <v>32</v>
      </c>
      <c r="D24" s="23">
        <f>D23+1</f>
        <v>22</v>
      </c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0"/>
      <c r="P24" s="20"/>
      <c r="Q24" s="20"/>
      <c r="R24" s="20"/>
      <c r="S24" s="21"/>
      <c r="T24" s="21"/>
      <c r="U24" s="234"/>
    </row>
    <row r="25" spans="1:21" ht="13.5" customHeight="1" x14ac:dyDescent="0.2">
      <c r="A25" s="6"/>
      <c r="B25" s="213"/>
      <c r="C25" s="18" t="s">
        <v>33</v>
      </c>
      <c r="D25" s="23">
        <f>D24+1</f>
        <v>23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0"/>
      <c r="P25" s="20"/>
      <c r="Q25" s="20"/>
      <c r="R25" s="20"/>
      <c r="S25" s="21"/>
      <c r="T25" s="21"/>
      <c r="U25" s="235"/>
    </row>
    <row r="26" spans="1:21" ht="12" customHeight="1" x14ac:dyDescent="0.2">
      <c r="A26" s="6"/>
      <c r="B26" s="208" t="s">
        <v>367</v>
      </c>
      <c r="C26" s="209"/>
      <c r="D26" s="210"/>
      <c r="E26" s="214" t="s">
        <v>2</v>
      </c>
      <c r="F26" s="215"/>
      <c r="G26" s="216"/>
      <c r="H26" s="96"/>
      <c r="I26" s="98" t="s">
        <v>3</v>
      </c>
      <c r="J26" s="98" t="s">
        <v>4</v>
      </c>
      <c r="K26" s="31"/>
      <c r="L26" s="77" t="s">
        <v>5</v>
      </c>
      <c r="M26" s="77" t="s">
        <v>6</v>
      </c>
      <c r="N26" s="77" t="s">
        <v>7</v>
      </c>
      <c r="O26" s="77" t="s">
        <v>9</v>
      </c>
      <c r="P26" s="77" t="s">
        <v>10</v>
      </c>
      <c r="Q26" s="77" t="s">
        <v>11</v>
      </c>
      <c r="R26" s="77" t="s">
        <v>123</v>
      </c>
      <c r="S26" s="78" t="s">
        <v>12</v>
      </c>
      <c r="T26" s="79" t="s">
        <v>13</v>
      </c>
      <c r="U26" s="7"/>
    </row>
    <row r="27" spans="1:21" ht="19.899999999999999" customHeight="1" x14ac:dyDescent="0.2">
      <c r="A27" s="6"/>
      <c r="B27" s="211">
        <f>B19+1</f>
        <v>35</v>
      </c>
      <c r="C27" s="8" t="s">
        <v>14</v>
      </c>
      <c r="D27" s="9">
        <f>D25+1</f>
        <v>24</v>
      </c>
      <c r="E27" s="257" t="s">
        <v>355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224" t="s">
        <v>370</v>
      </c>
      <c r="T27" s="254" t="s">
        <v>369</v>
      </c>
      <c r="U27" s="233" t="s">
        <v>60</v>
      </c>
    </row>
    <row r="28" spans="1:21" ht="19.899999999999999" customHeight="1" x14ac:dyDescent="0.2">
      <c r="A28" s="6"/>
      <c r="B28" s="212"/>
      <c r="C28" s="11" t="s">
        <v>23</v>
      </c>
      <c r="D28" s="12">
        <f t="shared" ref="D28:D31" si="4">D27+1</f>
        <v>25</v>
      </c>
      <c r="E28" s="2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241"/>
      <c r="T28" s="255"/>
      <c r="U28" s="234"/>
    </row>
    <row r="29" spans="1:21" ht="19.899999999999999" customHeight="1" x14ac:dyDescent="0.2">
      <c r="A29" s="6"/>
      <c r="B29" s="212"/>
      <c r="C29" s="11" t="s">
        <v>25</v>
      </c>
      <c r="D29" s="12">
        <f t="shared" si="4"/>
        <v>26</v>
      </c>
      <c r="E29" s="2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242"/>
      <c r="T29" s="255"/>
      <c r="U29" s="234"/>
    </row>
    <row r="30" spans="1:21" ht="19.899999999999999" customHeight="1" x14ac:dyDescent="0.2">
      <c r="A30" s="6"/>
      <c r="B30" s="212"/>
      <c r="C30" s="11" t="s">
        <v>27</v>
      </c>
      <c r="D30" s="12">
        <f t="shared" si="4"/>
        <v>27</v>
      </c>
      <c r="E30" s="2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255"/>
      <c r="U30" s="234"/>
    </row>
    <row r="31" spans="1:21" ht="19.899999999999999" customHeight="1" x14ac:dyDescent="0.2">
      <c r="A31" s="6"/>
      <c r="B31" s="212"/>
      <c r="C31" s="15" t="s">
        <v>29</v>
      </c>
      <c r="D31" s="16">
        <f t="shared" si="4"/>
        <v>28</v>
      </c>
      <c r="E31" s="21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56"/>
      <c r="U31" s="234"/>
    </row>
    <row r="32" spans="1:21" ht="13.5" customHeight="1" x14ac:dyDescent="0.2">
      <c r="A32" s="6"/>
      <c r="B32" s="212"/>
      <c r="C32" s="18" t="s">
        <v>32</v>
      </c>
      <c r="D32" s="23">
        <f>D31+1</f>
        <v>29</v>
      </c>
      <c r="E32" s="20"/>
      <c r="F32" s="20"/>
      <c r="G32" s="20"/>
      <c r="H32" s="20"/>
      <c r="I32" s="20"/>
      <c r="J32" s="20"/>
      <c r="K32" s="20"/>
      <c r="L32" s="21"/>
      <c r="M32" s="21"/>
      <c r="N32" s="20"/>
      <c r="O32" s="20"/>
      <c r="P32" s="20"/>
      <c r="Q32" s="20"/>
      <c r="R32" s="20"/>
      <c r="S32" s="21"/>
      <c r="T32" s="21"/>
      <c r="U32" s="234"/>
    </row>
    <row r="33" spans="1:21" ht="13.5" customHeight="1" x14ac:dyDescent="0.2">
      <c r="A33" s="6"/>
      <c r="B33" s="213"/>
      <c r="C33" s="18" t="s">
        <v>33</v>
      </c>
      <c r="D33" s="23">
        <f>D32+1</f>
        <v>30</v>
      </c>
      <c r="E33" s="20"/>
      <c r="F33" s="20"/>
      <c r="G33" s="20"/>
      <c r="H33" s="20"/>
      <c r="I33" s="20"/>
      <c r="J33" s="20"/>
      <c r="K33" s="20"/>
      <c r="L33" s="21"/>
      <c r="M33" s="21"/>
      <c r="N33" s="20"/>
      <c r="O33" s="20"/>
      <c r="P33" s="20"/>
      <c r="Q33" s="20"/>
      <c r="R33" s="20"/>
      <c r="S33" s="21"/>
      <c r="T33" s="21"/>
      <c r="U33" s="235"/>
    </row>
  </sheetData>
  <mergeCells count="30">
    <mergeCell ref="B2:D2"/>
    <mergeCell ref="B3:B9"/>
    <mergeCell ref="E3:E7"/>
    <mergeCell ref="E2:G2"/>
    <mergeCell ref="E10:G10"/>
    <mergeCell ref="B27:B33"/>
    <mergeCell ref="E27:E31"/>
    <mergeCell ref="E19:E23"/>
    <mergeCell ref="U19:U25"/>
    <mergeCell ref="B10:D10"/>
    <mergeCell ref="B11:B17"/>
    <mergeCell ref="E11:E15"/>
    <mergeCell ref="B18:D18"/>
    <mergeCell ref="S11:S15"/>
    <mergeCell ref="S19:S23"/>
    <mergeCell ref="B19:B25"/>
    <mergeCell ref="B26:D26"/>
    <mergeCell ref="E18:G18"/>
    <mergeCell ref="E26:G26"/>
    <mergeCell ref="O11:O15"/>
    <mergeCell ref="O19:O23"/>
    <mergeCell ref="U3:U9"/>
    <mergeCell ref="U27:U33"/>
    <mergeCell ref="U11:U17"/>
    <mergeCell ref="S3:S7"/>
    <mergeCell ref="O3:O7"/>
    <mergeCell ref="T11:T15"/>
    <mergeCell ref="T19:T23"/>
    <mergeCell ref="T27:T31"/>
    <mergeCell ref="S27:S29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3"/>
  <sheetViews>
    <sheetView showGridLines="0" workbookViewId="0">
      <pane xSplit="4" topLeftCell="F1" activePane="topRight" state="frozen"/>
      <selection activeCell="T19" sqref="T19:T25"/>
      <selection pane="topRight" activeCell="T19" sqref="T19:T25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0.40234375" customWidth="1"/>
    <col min="12" max="20" width="15.73828125" customWidth="1"/>
    <col min="21" max="21" width="2.95703125" customWidth="1"/>
  </cols>
  <sheetData>
    <row r="1" spans="1:21" ht="9.75" customHeight="1" x14ac:dyDescent="0.2">
      <c r="A1" s="1" t="s">
        <v>0</v>
      </c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ht="12" customHeight="1" x14ac:dyDescent="0.2">
      <c r="A2" s="6"/>
      <c r="B2" s="208" t="s">
        <v>371</v>
      </c>
      <c r="C2" s="209"/>
      <c r="D2" s="210"/>
      <c r="E2" s="214" t="s">
        <v>2</v>
      </c>
      <c r="F2" s="215"/>
      <c r="G2" s="216"/>
      <c r="H2" s="97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7</v>
      </c>
      <c r="O2" s="77" t="s">
        <v>9</v>
      </c>
      <c r="P2" s="77" t="s">
        <v>10</v>
      </c>
      <c r="Q2" s="77" t="s">
        <v>11</v>
      </c>
      <c r="R2" s="77" t="s">
        <v>123</v>
      </c>
      <c r="S2" s="78" t="s">
        <v>12</v>
      </c>
      <c r="T2" s="79" t="s">
        <v>13</v>
      </c>
      <c r="U2" s="7"/>
    </row>
    <row r="3" spans="1:21" ht="19.899999999999999" customHeight="1" x14ac:dyDescent="0.2">
      <c r="A3" s="6"/>
      <c r="B3" s="211">
        <v>36</v>
      </c>
      <c r="C3" s="8" t="s">
        <v>14</v>
      </c>
      <c r="D3" s="12">
        <v>31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 t="s">
        <v>30</v>
      </c>
      <c r="T3" s="10"/>
      <c r="U3" s="233"/>
    </row>
    <row r="4" spans="1:21" ht="19.899999999999999" customHeight="1" x14ac:dyDescent="0.2">
      <c r="A4" s="6"/>
      <c r="B4" s="212"/>
      <c r="C4" s="11" t="s">
        <v>23</v>
      </c>
      <c r="D4" s="12">
        <v>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 t="s">
        <v>30</v>
      </c>
      <c r="T4" s="13"/>
      <c r="U4" s="234"/>
    </row>
    <row r="5" spans="1:21" ht="19.899999999999999" customHeight="1" x14ac:dyDescent="0.2">
      <c r="A5" s="6"/>
      <c r="B5" s="212"/>
      <c r="C5" s="11" t="s">
        <v>25</v>
      </c>
      <c r="D5" s="12">
        <f t="shared" ref="D5:D6" si="0">D4+1</f>
        <v>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 t="s">
        <v>30</v>
      </c>
      <c r="T5" s="13"/>
      <c r="U5" s="234"/>
    </row>
    <row r="6" spans="1:21" ht="19.899999999999999" customHeight="1" x14ac:dyDescent="0.2">
      <c r="A6" s="6"/>
      <c r="B6" s="212"/>
      <c r="C6" s="11" t="s">
        <v>27</v>
      </c>
      <c r="D6" s="12">
        <f t="shared" si="0"/>
        <v>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 t="s">
        <v>30</v>
      </c>
      <c r="T6" s="13"/>
      <c r="U6" s="234"/>
    </row>
    <row r="7" spans="1:21" ht="19.899999999999999" customHeight="1" x14ac:dyDescent="0.2">
      <c r="A7" s="6"/>
      <c r="B7" s="212"/>
      <c r="C7" s="15" t="s">
        <v>29</v>
      </c>
      <c r="D7" s="16">
        <f t="shared" ref="D7" si="1">D6+1</f>
        <v>4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 t="s">
        <v>30</v>
      </c>
      <c r="T7" s="17"/>
      <c r="U7" s="234"/>
    </row>
    <row r="8" spans="1:21" ht="13.5" customHeight="1" x14ac:dyDescent="0.2">
      <c r="A8" s="6"/>
      <c r="B8" s="212"/>
      <c r="C8" s="18" t="s">
        <v>32</v>
      </c>
      <c r="D8" s="23">
        <f>D7+1</f>
        <v>5</v>
      </c>
      <c r="E8" s="20"/>
      <c r="F8" s="21"/>
      <c r="G8" s="21"/>
      <c r="H8" s="20"/>
      <c r="I8" s="21"/>
      <c r="J8" s="20"/>
      <c r="K8" s="20"/>
      <c r="L8" s="20"/>
      <c r="M8" s="20"/>
      <c r="N8" s="21"/>
      <c r="O8" s="21"/>
      <c r="P8" s="21"/>
      <c r="Q8" s="20"/>
      <c r="R8" s="20"/>
      <c r="S8" s="21"/>
      <c r="T8" s="21"/>
      <c r="U8" s="234"/>
    </row>
    <row r="9" spans="1:21" ht="13.5" customHeight="1" x14ac:dyDescent="0.2">
      <c r="A9" s="6"/>
      <c r="B9" s="213"/>
      <c r="C9" s="18" t="s">
        <v>33</v>
      </c>
      <c r="D9" s="23">
        <f>D8+1</f>
        <v>6</v>
      </c>
      <c r="E9" s="20"/>
      <c r="F9" s="21"/>
      <c r="G9" s="21"/>
      <c r="H9" s="20"/>
      <c r="I9" s="21"/>
      <c r="J9" s="20"/>
      <c r="K9" s="20"/>
      <c r="L9" s="20"/>
      <c r="M9" s="20"/>
      <c r="N9" s="21"/>
      <c r="O9" s="21"/>
      <c r="P9" s="21"/>
      <c r="Q9" s="20"/>
      <c r="R9" s="20"/>
      <c r="S9" s="21"/>
      <c r="T9" s="21"/>
      <c r="U9" s="235"/>
    </row>
    <row r="10" spans="1:21" ht="12" customHeight="1" x14ac:dyDescent="0.2">
      <c r="A10" s="6"/>
      <c r="B10" s="208" t="s">
        <v>371</v>
      </c>
      <c r="C10" s="209"/>
      <c r="D10" s="210"/>
      <c r="E10" s="214" t="s">
        <v>2</v>
      </c>
      <c r="F10" s="215"/>
      <c r="G10" s="216"/>
      <c r="H10" s="97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7</v>
      </c>
      <c r="O10" s="77" t="s">
        <v>9</v>
      </c>
      <c r="P10" s="77" t="s">
        <v>10</v>
      </c>
      <c r="Q10" s="77" t="s">
        <v>11</v>
      </c>
      <c r="R10" s="77" t="s">
        <v>123</v>
      </c>
      <c r="S10" s="78" t="s">
        <v>12</v>
      </c>
      <c r="T10" s="79" t="s">
        <v>13</v>
      </c>
      <c r="U10" s="7"/>
    </row>
    <row r="11" spans="1:21" ht="19.899999999999999" customHeight="1" x14ac:dyDescent="0.2">
      <c r="A11" s="6"/>
      <c r="B11" s="211">
        <f>B3+1</f>
        <v>37</v>
      </c>
      <c r="C11" s="8" t="s">
        <v>14</v>
      </c>
      <c r="D11" s="9">
        <f>D9+1</f>
        <v>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24" t="s">
        <v>372</v>
      </c>
      <c r="R11" s="10"/>
      <c r="S11" s="270" t="s">
        <v>127</v>
      </c>
      <c r="T11" s="10"/>
      <c r="U11" s="233"/>
    </row>
    <row r="12" spans="1:21" ht="19.899999999999999" customHeight="1" x14ac:dyDescent="0.2">
      <c r="A12" s="6"/>
      <c r="B12" s="212"/>
      <c r="C12" s="11" t="s">
        <v>23</v>
      </c>
      <c r="D12" s="12">
        <f t="shared" ref="D12:D15" si="2">D11+1</f>
        <v>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241"/>
      <c r="R12" s="13"/>
      <c r="S12" s="281"/>
      <c r="T12" s="13"/>
      <c r="U12" s="234"/>
    </row>
    <row r="13" spans="1:21" ht="19.899999999999999" customHeight="1" x14ac:dyDescent="0.2">
      <c r="A13" s="6"/>
      <c r="B13" s="212"/>
      <c r="C13" s="11" t="s">
        <v>25</v>
      </c>
      <c r="D13" s="12">
        <f t="shared" si="2"/>
        <v>9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41"/>
      <c r="R13" s="13"/>
      <c r="S13" s="281"/>
      <c r="T13" s="13"/>
      <c r="U13" s="234"/>
    </row>
    <row r="14" spans="1:21" ht="19.899999999999999" customHeight="1" x14ac:dyDescent="0.2">
      <c r="A14" s="6"/>
      <c r="B14" s="212"/>
      <c r="C14" s="11" t="s">
        <v>27</v>
      </c>
      <c r="D14" s="12">
        <f t="shared" si="2"/>
        <v>10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41"/>
      <c r="R14" s="13"/>
      <c r="S14" s="282"/>
      <c r="T14" s="13"/>
      <c r="U14" s="234"/>
    </row>
    <row r="15" spans="1:21" ht="19.899999999999999" customHeight="1" x14ac:dyDescent="0.2">
      <c r="A15" s="6"/>
      <c r="B15" s="212"/>
      <c r="C15" s="15" t="s">
        <v>29</v>
      </c>
      <c r="D15" s="16">
        <f t="shared" si="2"/>
        <v>11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225"/>
      <c r="R15" s="17"/>
      <c r="S15" s="109"/>
      <c r="T15" s="17"/>
      <c r="U15" s="234"/>
    </row>
    <row r="16" spans="1:21" ht="13.5" customHeight="1" x14ac:dyDescent="0.2">
      <c r="A16" s="6"/>
      <c r="B16" s="212"/>
      <c r="C16" s="18" t="s">
        <v>32</v>
      </c>
      <c r="D16" s="9">
        <f>D15+1</f>
        <v>12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1"/>
      <c r="U16" s="234"/>
    </row>
    <row r="17" spans="1:21" ht="13.5" customHeight="1" x14ac:dyDescent="0.2">
      <c r="A17" s="6"/>
      <c r="B17" s="213"/>
      <c r="C17" s="18" t="s">
        <v>33</v>
      </c>
      <c r="D17" s="9">
        <f>D16+1</f>
        <v>13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21"/>
      <c r="U17" s="235"/>
    </row>
    <row r="18" spans="1:21" ht="12" customHeight="1" x14ac:dyDescent="0.2">
      <c r="A18" s="6"/>
      <c r="B18" s="208" t="s">
        <v>371</v>
      </c>
      <c r="C18" s="209"/>
      <c r="D18" s="210"/>
      <c r="E18" s="214" t="s">
        <v>2</v>
      </c>
      <c r="F18" s="215"/>
      <c r="G18" s="216"/>
      <c r="H18" s="97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7</v>
      </c>
      <c r="O18" s="77" t="s">
        <v>9</v>
      </c>
      <c r="P18" s="77" t="s">
        <v>10</v>
      </c>
      <c r="Q18" s="77" t="s">
        <v>11</v>
      </c>
      <c r="R18" s="77" t="s">
        <v>123</v>
      </c>
      <c r="S18" s="78" t="s">
        <v>12</v>
      </c>
      <c r="T18" s="79" t="s">
        <v>13</v>
      </c>
      <c r="U18" s="7"/>
    </row>
    <row r="19" spans="1:21" ht="19.899999999999999" customHeight="1" x14ac:dyDescent="0.2">
      <c r="A19" s="6"/>
      <c r="B19" s="211">
        <f>B11+1</f>
        <v>38</v>
      </c>
      <c r="C19" s="8" t="s">
        <v>14</v>
      </c>
      <c r="D19" s="9">
        <f>D17+1</f>
        <v>14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270" t="s">
        <v>127</v>
      </c>
      <c r="R19" s="10"/>
      <c r="S19" s="10"/>
      <c r="T19" s="10"/>
      <c r="U19" s="233"/>
    </row>
    <row r="20" spans="1:21" ht="19.899999999999999" customHeight="1" x14ac:dyDescent="0.2">
      <c r="A20" s="6"/>
      <c r="B20" s="212"/>
      <c r="C20" s="11" t="s">
        <v>23</v>
      </c>
      <c r="D20" s="12">
        <f t="shared" ref="D20:D23" si="3">D19+1</f>
        <v>15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281"/>
      <c r="R20" s="13"/>
      <c r="S20" s="13"/>
      <c r="T20" s="13"/>
      <c r="U20" s="234"/>
    </row>
    <row r="21" spans="1:21" ht="19.899999999999999" customHeight="1" x14ac:dyDescent="0.2">
      <c r="A21" s="6"/>
      <c r="B21" s="212"/>
      <c r="C21" s="11" t="s">
        <v>25</v>
      </c>
      <c r="D21" s="12">
        <f t="shared" si="3"/>
        <v>16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281"/>
      <c r="R21" s="13"/>
      <c r="S21" s="13"/>
      <c r="T21" s="13"/>
      <c r="U21" s="234"/>
    </row>
    <row r="22" spans="1:21" ht="19.899999999999999" customHeight="1" x14ac:dyDescent="0.2">
      <c r="A22" s="6"/>
      <c r="B22" s="212"/>
      <c r="C22" s="11" t="s">
        <v>27</v>
      </c>
      <c r="D22" s="12">
        <f t="shared" si="3"/>
        <v>17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282"/>
      <c r="R22" s="13"/>
      <c r="S22" s="13"/>
      <c r="T22" s="13"/>
      <c r="U22" s="234"/>
    </row>
    <row r="23" spans="1:21" ht="19.899999999999999" customHeight="1" x14ac:dyDescent="0.2">
      <c r="A23" s="6"/>
      <c r="B23" s="212"/>
      <c r="C23" s="15" t="s">
        <v>29</v>
      </c>
      <c r="D23" s="16">
        <f t="shared" si="3"/>
        <v>18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09"/>
      <c r="R23" s="17"/>
      <c r="S23" s="17"/>
      <c r="T23" s="17"/>
      <c r="U23" s="234"/>
    </row>
    <row r="24" spans="1:21" ht="13.5" customHeight="1" x14ac:dyDescent="0.2">
      <c r="A24" s="6"/>
      <c r="B24" s="212"/>
      <c r="C24" s="18" t="s">
        <v>32</v>
      </c>
      <c r="D24" s="9">
        <f>D23+1</f>
        <v>19</v>
      </c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0"/>
      <c r="P24" s="20"/>
      <c r="Q24" s="20"/>
      <c r="R24" s="20"/>
      <c r="S24" s="21"/>
      <c r="T24" s="21"/>
      <c r="U24" s="234"/>
    </row>
    <row r="25" spans="1:21" ht="13.5" customHeight="1" x14ac:dyDescent="0.2">
      <c r="A25" s="6"/>
      <c r="B25" s="213"/>
      <c r="C25" s="18" t="s">
        <v>33</v>
      </c>
      <c r="D25" s="9">
        <f>D24+1</f>
        <v>20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0"/>
      <c r="P25" s="20"/>
      <c r="Q25" s="20"/>
      <c r="R25" s="20"/>
      <c r="S25" s="21"/>
      <c r="T25" s="21"/>
      <c r="U25" s="235"/>
    </row>
    <row r="26" spans="1:21" ht="12" customHeight="1" x14ac:dyDescent="0.2">
      <c r="A26" s="6"/>
      <c r="B26" s="208" t="s">
        <v>371</v>
      </c>
      <c r="C26" s="209"/>
      <c r="D26" s="210"/>
      <c r="E26" s="214" t="s">
        <v>2</v>
      </c>
      <c r="F26" s="215"/>
      <c r="G26" s="216"/>
      <c r="H26" s="97"/>
      <c r="I26" s="98" t="s">
        <v>3</v>
      </c>
      <c r="J26" s="98" t="s">
        <v>4</v>
      </c>
      <c r="K26" s="31"/>
      <c r="L26" s="77" t="s">
        <v>5</v>
      </c>
      <c r="M26" s="77" t="s">
        <v>6</v>
      </c>
      <c r="N26" s="77" t="s">
        <v>7</v>
      </c>
      <c r="O26" s="77" t="s">
        <v>9</v>
      </c>
      <c r="P26" s="77" t="s">
        <v>10</v>
      </c>
      <c r="Q26" s="77" t="s">
        <v>11</v>
      </c>
      <c r="R26" s="77" t="s">
        <v>123</v>
      </c>
      <c r="S26" s="78" t="s">
        <v>12</v>
      </c>
      <c r="T26" s="79" t="s">
        <v>13</v>
      </c>
      <c r="U26" s="7"/>
    </row>
    <row r="27" spans="1:21" ht="19.899999999999999" customHeight="1" x14ac:dyDescent="0.2">
      <c r="A27" s="6"/>
      <c r="B27" s="211">
        <f>B19+1</f>
        <v>39</v>
      </c>
      <c r="C27" s="8" t="s">
        <v>14</v>
      </c>
      <c r="D27" s="9">
        <f>D25+1</f>
        <v>21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233"/>
    </row>
    <row r="28" spans="1:21" ht="19.899999999999999" customHeight="1" x14ac:dyDescent="0.2">
      <c r="A28" s="6"/>
      <c r="B28" s="212"/>
      <c r="C28" s="11" t="s">
        <v>23</v>
      </c>
      <c r="D28" s="12">
        <f t="shared" ref="D28:D31" si="4">D27+1</f>
        <v>22</v>
      </c>
      <c r="E28" s="13"/>
      <c r="F28" s="13"/>
      <c r="G28" s="13"/>
      <c r="H28" s="13"/>
      <c r="I28" s="76" t="s">
        <v>373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234"/>
    </row>
    <row r="29" spans="1:21" ht="19.899999999999999" customHeight="1" x14ac:dyDescent="0.2">
      <c r="A29" s="6"/>
      <c r="B29" s="212"/>
      <c r="C29" s="11" t="s">
        <v>25</v>
      </c>
      <c r="D29" s="12">
        <f t="shared" si="4"/>
        <v>23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234"/>
    </row>
    <row r="30" spans="1:21" ht="19.899999999999999" customHeight="1" x14ac:dyDescent="0.2">
      <c r="A30" s="6"/>
      <c r="B30" s="212"/>
      <c r="C30" s="11" t="s">
        <v>27</v>
      </c>
      <c r="D30" s="12">
        <f t="shared" si="4"/>
        <v>24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234"/>
    </row>
    <row r="31" spans="1:21" ht="19.899999999999999" customHeight="1" x14ac:dyDescent="0.2">
      <c r="A31" s="6"/>
      <c r="B31" s="212"/>
      <c r="C31" s="15" t="s">
        <v>29</v>
      </c>
      <c r="D31" s="16">
        <f t="shared" si="4"/>
        <v>25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34"/>
    </row>
    <row r="32" spans="1:21" ht="13.5" customHeight="1" x14ac:dyDescent="0.2">
      <c r="A32" s="6"/>
      <c r="B32" s="212"/>
      <c r="C32" s="18" t="s">
        <v>32</v>
      </c>
      <c r="D32" s="199">
        <f>D31+1</f>
        <v>26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  <c r="T32" s="21"/>
      <c r="U32" s="234"/>
    </row>
    <row r="33" spans="1:21" ht="13.5" customHeight="1" x14ac:dyDescent="0.2">
      <c r="A33" s="6"/>
      <c r="B33" s="213"/>
      <c r="C33" s="18" t="s">
        <v>33</v>
      </c>
      <c r="D33" s="197">
        <f>D32+1</f>
        <v>27</v>
      </c>
      <c r="E33" s="19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1"/>
      <c r="T33" s="21"/>
      <c r="U33" s="235"/>
    </row>
  </sheetData>
  <mergeCells count="19">
    <mergeCell ref="B26:D26"/>
    <mergeCell ref="S11:S14"/>
    <mergeCell ref="E26:G26"/>
    <mergeCell ref="U27:U33"/>
    <mergeCell ref="U11:U17"/>
    <mergeCell ref="U19:U25"/>
    <mergeCell ref="B27:B33"/>
    <mergeCell ref="Q11:Q15"/>
    <mergeCell ref="B2:D2"/>
    <mergeCell ref="B3:B9"/>
    <mergeCell ref="U3:U9"/>
    <mergeCell ref="B19:B25"/>
    <mergeCell ref="E2:G2"/>
    <mergeCell ref="E10:G10"/>
    <mergeCell ref="E18:G18"/>
    <mergeCell ref="B10:D10"/>
    <mergeCell ref="B11:B17"/>
    <mergeCell ref="B18:D18"/>
    <mergeCell ref="Q19:Q22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1"/>
  <sheetViews>
    <sheetView showGridLines="0" topLeftCell="A15" workbookViewId="0">
      <pane xSplit="4" topLeftCell="P15" activePane="topRight" state="frozen"/>
      <selection activeCell="T19" sqref="T19:T25"/>
      <selection pane="topRight" activeCell="T19" sqref="T19:T25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0.40234375" customWidth="1"/>
    <col min="12" max="20" width="15.73828125" customWidth="1"/>
    <col min="21" max="21" width="2.95703125" customWidth="1"/>
  </cols>
  <sheetData>
    <row r="1" spans="1:21" ht="9.75" customHeight="1" x14ac:dyDescent="0.2">
      <c r="A1" s="1" t="s">
        <v>0</v>
      </c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ht="12" customHeight="1" x14ac:dyDescent="0.2">
      <c r="A2" s="6"/>
      <c r="B2" s="208" t="s">
        <v>374</v>
      </c>
      <c r="C2" s="209"/>
      <c r="D2" s="210"/>
      <c r="E2" s="214" t="s">
        <v>2</v>
      </c>
      <c r="F2" s="215"/>
      <c r="G2" s="216"/>
      <c r="H2" s="97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7</v>
      </c>
      <c r="O2" s="77" t="s">
        <v>9</v>
      </c>
      <c r="P2" s="77" t="s">
        <v>10</v>
      </c>
      <c r="Q2" s="77" t="s">
        <v>11</v>
      </c>
      <c r="R2" s="77" t="s">
        <v>123</v>
      </c>
      <c r="S2" s="78" t="s">
        <v>12</v>
      </c>
      <c r="T2" s="79" t="s">
        <v>13</v>
      </c>
      <c r="U2" s="7"/>
    </row>
    <row r="3" spans="1:21" ht="19.899999999999999" customHeight="1" x14ac:dyDescent="0.2">
      <c r="A3" s="6"/>
      <c r="B3" s="211">
        <v>40</v>
      </c>
      <c r="C3" s="8" t="s">
        <v>14</v>
      </c>
      <c r="D3" s="12">
        <f>'Septembre 2026'!D33+2</f>
        <v>29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233"/>
    </row>
    <row r="4" spans="1:21" ht="19.899999999999999" customHeight="1" x14ac:dyDescent="0.2">
      <c r="A4" s="6"/>
      <c r="B4" s="212"/>
      <c r="C4" s="11" t="s">
        <v>23</v>
      </c>
      <c r="D4" s="12">
        <f>D3+1</f>
        <v>30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234"/>
    </row>
    <row r="5" spans="1:21" ht="19.899999999999999" customHeight="1" x14ac:dyDescent="0.2">
      <c r="A5" s="6"/>
      <c r="B5" s="212"/>
      <c r="C5" s="11" t="s">
        <v>25</v>
      </c>
      <c r="D5" s="12">
        <v>30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234"/>
    </row>
    <row r="6" spans="1:21" ht="19.899999999999999" customHeight="1" x14ac:dyDescent="0.2">
      <c r="A6" s="6"/>
      <c r="B6" s="212"/>
      <c r="C6" s="11" t="s">
        <v>27</v>
      </c>
      <c r="D6" s="12">
        <v>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234"/>
    </row>
    <row r="7" spans="1:21" ht="19.899999999999999" customHeight="1" x14ac:dyDescent="0.2">
      <c r="A7" s="6"/>
      <c r="B7" s="212"/>
      <c r="C7" s="15" t="s">
        <v>29</v>
      </c>
      <c r="D7" s="16">
        <f t="shared" ref="D7" si="0">D6+1</f>
        <v>2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234"/>
    </row>
    <row r="8" spans="1:21" ht="13.5" customHeight="1" x14ac:dyDescent="0.2">
      <c r="A8" s="6"/>
      <c r="B8" s="212"/>
      <c r="C8" s="18" t="s">
        <v>32</v>
      </c>
      <c r="D8" s="23">
        <f>D7+1</f>
        <v>3</v>
      </c>
      <c r="E8" s="20"/>
      <c r="F8" s="20"/>
      <c r="G8" s="20"/>
      <c r="H8" s="20"/>
      <c r="I8" s="20"/>
      <c r="J8" s="21"/>
      <c r="K8" s="20"/>
      <c r="L8" s="21"/>
      <c r="M8" s="21"/>
      <c r="N8" s="21"/>
      <c r="O8" s="21"/>
      <c r="P8" s="21"/>
      <c r="Q8" s="20"/>
      <c r="R8" s="20"/>
      <c r="S8" s="21"/>
      <c r="T8" s="21"/>
      <c r="U8" s="234"/>
    </row>
    <row r="9" spans="1:21" ht="13.5" customHeight="1" x14ac:dyDescent="0.2">
      <c r="A9" s="6"/>
      <c r="B9" s="213"/>
      <c r="C9" s="18" t="s">
        <v>32</v>
      </c>
      <c r="D9" s="23">
        <f>D8+1</f>
        <v>4</v>
      </c>
      <c r="E9" s="20"/>
      <c r="F9" s="20"/>
      <c r="G9" s="20"/>
      <c r="H9" s="20"/>
      <c r="I9" s="20"/>
      <c r="J9" s="21"/>
      <c r="K9" s="20"/>
      <c r="L9" s="21"/>
      <c r="M9" s="21"/>
      <c r="N9" s="21"/>
      <c r="O9" s="21"/>
      <c r="P9" s="21"/>
      <c r="Q9" s="20"/>
      <c r="R9" s="20"/>
      <c r="S9" s="21"/>
      <c r="T9" s="21"/>
      <c r="U9" s="235"/>
    </row>
    <row r="10" spans="1:21" ht="12" customHeight="1" x14ac:dyDescent="0.2">
      <c r="A10" s="6"/>
      <c r="B10" s="208" t="s">
        <v>375</v>
      </c>
      <c r="C10" s="209"/>
      <c r="D10" s="210"/>
      <c r="E10" s="214" t="s">
        <v>2</v>
      </c>
      <c r="F10" s="215"/>
      <c r="G10" s="216"/>
      <c r="H10" s="97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7</v>
      </c>
      <c r="O10" s="77" t="s">
        <v>9</v>
      </c>
      <c r="P10" s="77" t="s">
        <v>10</v>
      </c>
      <c r="Q10" s="77" t="s">
        <v>11</v>
      </c>
      <c r="R10" s="77" t="s">
        <v>123</v>
      </c>
      <c r="S10" s="78" t="s">
        <v>12</v>
      </c>
      <c r="T10" s="79" t="s">
        <v>13</v>
      </c>
      <c r="U10" s="7"/>
    </row>
    <row r="11" spans="1:21" ht="19.899999999999999" customHeight="1" x14ac:dyDescent="0.2">
      <c r="A11" s="6"/>
      <c r="B11" s="211">
        <f>B3+1</f>
        <v>41</v>
      </c>
      <c r="C11" s="8" t="s">
        <v>14</v>
      </c>
      <c r="D11" s="9">
        <f>D9+1</f>
        <v>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233"/>
    </row>
    <row r="12" spans="1:21" ht="19.899999999999999" customHeight="1" x14ac:dyDescent="0.2">
      <c r="A12" s="6"/>
      <c r="B12" s="212"/>
      <c r="C12" s="11" t="s">
        <v>23</v>
      </c>
      <c r="D12" s="12">
        <f t="shared" ref="D12:D15" si="1">D11+1</f>
        <v>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234"/>
    </row>
    <row r="13" spans="1:21" ht="19.899999999999999" customHeight="1" x14ac:dyDescent="0.2">
      <c r="A13" s="6"/>
      <c r="B13" s="212"/>
      <c r="C13" s="11" t="s">
        <v>25</v>
      </c>
      <c r="D13" s="12">
        <f t="shared" si="1"/>
        <v>7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234"/>
    </row>
    <row r="14" spans="1:21" ht="19.899999999999999" customHeight="1" x14ac:dyDescent="0.2">
      <c r="A14" s="6"/>
      <c r="B14" s="212"/>
      <c r="C14" s="11" t="s">
        <v>27</v>
      </c>
      <c r="D14" s="12">
        <f t="shared" si="1"/>
        <v>8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234"/>
    </row>
    <row r="15" spans="1:21" ht="19.899999999999999" customHeight="1" x14ac:dyDescent="0.2">
      <c r="A15" s="6"/>
      <c r="B15" s="212"/>
      <c r="C15" s="15" t="s">
        <v>29</v>
      </c>
      <c r="D15" s="16">
        <f t="shared" si="1"/>
        <v>9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29" t="s">
        <v>376</v>
      </c>
      <c r="T15" s="17"/>
      <c r="U15" s="234"/>
    </row>
    <row r="16" spans="1:21" ht="13.5" customHeight="1" x14ac:dyDescent="0.2">
      <c r="A16" s="6"/>
      <c r="B16" s="212"/>
      <c r="C16" s="18" t="s">
        <v>32</v>
      </c>
      <c r="D16" s="23">
        <f>D15+1</f>
        <v>10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1"/>
      <c r="U16" s="234"/>
    </row>
    <row r="17" spans="1:21" ht="13.5" customHeight="1" x14ac:dyDescent="0.2">
      <c r="A17" s="6"/>
      <c r="B17" s="213"/>
      <c r="C17" s="18" t="s">
        <v>33</v>
      </c>
      <c r="D17" s="23">
        <f>D16+1</f>
        <v>11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21"/>
      <c r="U17" s="235"/>
    </row>
    <row r="18" spans="1:21" ht="12" customHeight="1" x14ac:dyDescent="0.2">
      <c r="A18" s="6"/>
      <c r="B18" s="208" t="s">
        <v>375</v>
      </c>
      <c r="C18" s="209"/>
      <c r="D18" s="210"/>
      <c r="E18" s="214" t="s">
        <v>2</v>
      </c>
      <c r="F18" s="215"/>
      <c r="G18" s="216"/>
      <c r="H18" s="97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7</v>
      </c>
      <c r="O18" s="77" t="s">
        <v>9</v>
      </c>
      <c r="P18" s="77" t="s">
        <v>10</v>
      </c>
      <c r="Q18" s="77" t="s">
        <v>11</v>
      </c>
      <c r="R18" s="77" t="s">
        <v>123</v>
      </c>
      <c r="S18" s="78" t="s">
        <v>12</v>
      </c>
      <c r="T18" s="79" t="s">
        <v>13</v>
      </c>
      <c r="U18" s="7"/>
    </row>
    <row r="19" spans="1:21" ht="19.899999999999999" customHeight="1" x14ac:dyDescent="0.2">
      <c r="A19" s="6"/>
      <c r="B19" s="211">
        <f>B11+1</f>
        <v>42</v>
      </c>
      <c r="C19" s="8" t="s">
        <v>14</v>
      </c>
      <c r="D19" s="9">
        <f>D17+1</f>
        <v>12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233"/>
    </row>
    <row r="20" spans="1:21" ht="19.899999999999999" customHeight="1" x14ac:dyDescent="0.2">
      <c r="A20" s="6"/>
      <c r="B20" s="212"/>
      <c r="C20" s="11" t="s">
        <v>23</v>
      </c>
      <c r="D20" s="12">
        <f t="shared" ref="D20:D23" si="2">D19+1</f>
        <v>13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234"/>
    </row>
    <row r="21" spans="1:21" ht="19.899999999999999" customHeight="1" x14ac:dyDescent="0.2">
      <c r="A21" s="6"/>
      <c r="B21" s="212"/>
      <c r="C21" s="11" t="s">
        <v>25</v>
      </c>
      <c r="D21" s="12">
        <f t="shared" si="2"/>
        <v>14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234"/>
    </row>
    <row r="22" spans="1:21" ht="19.899999999999999" customHeight="1" x14ac:dyDescent="0.2">
      <c r="A22" s="6"/>
      <c r="B22" s="212"/>
      <c r="C22" s="11" t="s">
        <v>27</v>
      </c>
      <c r="D22" s="12">
        <f t="shared" si="2"/>
        <v>15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234"/>
    </row>
    <row r="23" spans="1:21" ht="19.899999999999999" customHeight="1" x14ac:dyDescent="0.2">
      <c r="A23" s="6"/>
      <c r="B23" s="212"/>
      <c r="C23" s="15" t="s">
        <v>29</v>
      </c>
      <c r="D23" s="16">
        <f t="shared" si="2"/>
        <v>16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234"/>
    </row>
    <row r="24" spans="1:21" ht="13.5" customHeight="1" x14ac:dyDescent="0.2">
      <c r="A24" s="6"/>
      <c r="B24" s="212"/>
      <c r="C24" s="18" t="s">
        <v>32</v>
      </c>
      <c r="D24" s="23">
        <f>D23+1</f>
        <v>17</v>
      </c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0"/>
      <c r="P24" s="20"/>
      <c r="Q24" s="20"/>
      <c r="R24" s="20"/>
      <c r="S24" s="21"/>
      <c r="T24" s="21"/>
      <c r="U24" s="234"/>
    </row>
    <row r="25" spans="1:21" ht="13.5" customHeight="1" x14ac:dyDescent="0.2">
      <c r="A25" s="6"/>
      <c r="B25" s="213"/>
      <c r="C25" s="18" t="s">
        <v>33</v>
      </c>
      <c r="D25" s="23">
        <f>D24+1</f>
        <v>18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0"/>
      <c r="P25" s="20"/>
      <c r="Q25" s="20"/>
      <c r="R25" s="20"/>
      <c r="S25" s="21"/>
      <c r="T25" s="21"/>
      <c r="U25" s="235"/>
    </row>
    <row r="26" spans="1:21" ht="12" customHeight="1" x14ac:dyDescent="0.2">
      <c r="A26" s="6"/>
      <c r="B26" s="208" t="s">
        <v>375</v>
      </c>
      <c r="C26" s="209"/>
      <c r="D26" s="210"/>
      <c r="E26" s="214" t="s">
        <v>2</v>
      </c>
      <c r="F26" s="215"/>
      <c r="G26" s="216"/>
      <c r="H26" s="97"/>
      <c r="I26" s="98" t="s">
        <v>3</v>
      </c>
      <c r="J26" s="98" t="s">
        <v>4</v>
      </c>
      <c r="K26" s="31"/>
      <c r="L26" s="77" t="s">
        <v>5</v>
      </c>
      <c r="M26" s="77" t="s">
        <v>6</v>
      </c>
      <c r="N26" s="77" t="s">
        <v>7</v>
      </c>
      <c r="O26" s="77" t="s">
        <v>9</v>
      </c>
      <c r="P26" s="77" t="s">
        <v>10</v>
      </c>
      <c r="Q26" s="77" t="s">
        <v>11</v>
      </c>
      <c r="R26" s="77" t="s">
        <v>123</v>
      </c>
      <c r="S26" s="78" t="s">
        <v>12</v>
      </c>
      <c r="T26" s="79" t="s">
        <v>13</v>
      </c>
      <c r="U26" s="7"/>
    </row>
    <row r="27" spans="1:21" ht="19.899999999999999" customHeight="1" x14ac:dyDescent="0.2">
      <c r="A27" s="6"/>
      <c r="B27" s="211">
        <f>B19+1</f>
        <v>43</v>
      </c>
      <c r="C27" s="8" t="s">
        <v>14</v>
      </c>
      <c r="D27" s="9">
        <f>D25+1</f>
        <v>19</v>
      </c>
      <c r="E27" s="292" t="s">
        <v>377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233"/>
    </row>
    <row r="28" spans="1:21" ht="19.899999999999999" customHeight="1" x14ac:dyDescent="0.2">
      <c r="A28" s="6"/>
      <c r="B28" s="212"/>
      <c r="C28" s="11" t="s">
        <v>23</v>
      </c>
      <c r="D28" s="12">
        <f t="shared" ref="D28:D31" si="3">D27+1</f>
        <v>20</v>
      </c>
      <c r="E28" s="2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234"/>
    </row>
    <row r="29" spans="1:21" ht="19.899999999999999" customHeight="1" x14ac:dyDescent="0.2">
      <c r="A29" s="6"/>
      <c r="B29" s="212"/>
      <c r="C29" s="11" t="s">
        <v>25</v>
      </c>
      <c r="D29" s="12">
        <f t="shared" si="3"/>
        <v>21</v>
      </c>
      <c r="E29" s="2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234"/>
    </row>
    <row r="30" spans="1:21" ht="19.899999999999999" customHeight="1" x14ac:dyDescent="0.2">
      <c r="A30" s="6"/>
      <c r="B30" s="212"/>
      <c r="C30" s="11" t="s">
        <v>27</v>
      </c>
      <c r="D30" s="12">
        <f t="shared" si="3"/>
        <v>22</v>
      </c>
      <c r="E30" s="2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234"/>
    </row>
    <row r="31" spans="1:21" ht="19.899999999999999" customHeight="1" x14ac:dyDescent="0.2">
      <c r="A31" s="6"/>
      <c r="B31" s="212"/>
      <c r="C31" s="15" t="s">
        <v>29</v>
      </c>
      <c r="D31" s="16">
        <f t="shared" si="3"/>
        <v>23</v>
      </c>
      <c r="E31" s="21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34"/>
    </row>
    <row r="32" spans="1:21" ht="13.5" customHeight="1" x14ac:dyDescent="0.2">
      <c r="A32" s="6"/>
      <c r="B32" s="212"/>
      <c r="C32" s="18" t="s">
        <v>32</v>
      </c>
      <c r="D32" s="23">
        <f>D31+1</f>
        <v>24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  <c r="P32" s="21"/>
      <c r="Q32" s="20"/>
      <c r="R32" s="20"/>
      <c r="S32" s="21"/>
      <c r="T32" s="21"/>
      <c r="U32" s="234"/>
    </row>
    <row r="33" spans="1:21" ht="13.5" customHeight="1" x14ac:dyDescent="0.2">
      <c r="A33" s="6"/>
      <c r="B33" s="213"/>
      <c r="C33" s="18" t="s">
        <v>33</v>
      </c>
      <c r="D33" s="23">
        <f>D32+1</f>
        <v>25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1"/>
      <c r="P33" s="21"/>
      <c r="Q33" s="20"/>
      <c r="R33" s="20"/>
      <c r="S33" s="21"/>
      <c r="T33" s="21"/>
      <c r="U33" s="235"/>
    </row>
    <row r="34" spans="1:21" ht="12" customHeight="1" x14ac:dyDescent="0.2">
      <c r="A34" s="6"/>
      <c r="B34" s="208" t="s">
        <v>375</v>
      </c>
      <c r="C34" s="209"/>
      <c r="D34" s="210"/>
      <c r="E34" s="214" t="s">
        <v>2</v>
      </c>
      <c r="F34" s="215"/>
      <c r="G34" s="216"/>
      <c r="H34" s="97"/>
      <c r="I34" s="98" t="s">
        <v>3</v>
      </c>
      <c r="J34" s="98" t="s">
        <v>4</v>
      </c>
      <c r="K34" s="31"/>
      <c r="L34" s="77" t="s">
        <v>5</v>
      </c>
      <c r="M34" s="77" t="s">
        <v>6</v>
      </c>
      <c r="N34" s="77" t="s">
        <v>7</v>
      </c>
      <c r="O34" s="77" t="s">
        <v>9</v>
      </c>
      <c r="P34" s="77" t="s">
        <v>10</v>
      </c>
      <c r="Q34" s="77" t="s">
        <v>11</v>
      </c>
      <c r="R34" s="77" t="s">
        <v>123</v>
      </c>
      <c r="S34" s="78" t="s">
        <v>12</v>
      </c>
      <c r="T34" s="79" t="s">
        <v>13</v>
      </c>
      <c r="U34" s="7"/>
    </row>
    <row r="35" spans="1:21" ht="19.899999999999999" customHeight="1" x14ac:dyDescent="0.2">
      <c r="A35" s="6"/>
      <c r="B35" s="211">
        <f>B27+1</f>
        <v>44</v>
      </c>
      <c r="C35" s="8" t="s">
        <v>14</v>
      </c>
      <c r="D35" s="9">
        <f>D33+1</f>
        <v>26</v>
      </c>
      <c r="E35" s="292" t="s">
        <v>377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233"/>
    </row>
    <row r="36" spans="1:21" ht="19.899999999999999" customHeight="1" x14ac:dyDescent="0.2">
      <c r="A36" s="6"/>
      <c r="B36" s="212"/>
      <c r="C36" s="11" t="s">
        <v>23</v>
      </c>
      <c r="D36" s="12">
        <f t="shared" ref="D36:D39" si="4">D35+1</f>
        <v>27</v>
      </c>
      <c r="E36" s="21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234"/>
    </row>
    <row r="37" spans="1:21" ht="19.899999999999999" customHeight="1" x14ac:dyDescent="0.2">
      <c r="A37" s="6"/>
      <c r="B37" s="212"/>
      <c r="C37" s="11" t="s">
        <v>25</v>
      </c>
      <c r="D37" s="12">
        <f t="shared" si="4"/>
        <v>28</v>
      </c>
      <c r="E37" s="2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234"/>
    </row>
    <row r="38" spans="1:21" ht="19.899999999999999" customHeight="1" x14ac:dyDescent="0.2">
      <c r="A38" s="6"/>
      <c r="B38" s="212"/>
      <c r="C38" s="11" t="s">
        <v>27</v>
      </c>
      <c r="D38" s="12">
        <f t="shared" si="4"/>
        <v>29</v>
      </c>
      <c r="E38" s="212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234"/>
    </row>
    <row r="39" spans="1:21" ht="19.899999999999999" customHeight="1" x14ac:dyDescent="0.2">
      <c r="A39" s="6"/>
      <c r="B39" s="212"/>
      <c r="C39" s="15" t="s">
        <v>29</v>
      </c>
      <c r="D39" s="12">
        <f t="shared" si="4"/>
        <v>30</v>
      </c>
      <c r="E39" s="21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234"/>
    </row>
    <row r="40" spans="1:21" ht="13.5" customHeight="1" x14ac:dyDescent="0.2">
      <c r="A40" s="6"/>
      <c r="B40" s="212"/>
      <c r="C40" s="18" t="s">
        <v>32</v>
      </c>
      <c r="D40" s="23">
        <f>D39+1</f>
        <v>31</v>
      </c>
      <c r="E40" s="20"/>
      <c r="F40" s="20"/>
      <c r="G40" s="20"/>
      <c r="H40" s="20"/>
      <c r="I40" s="20"/>
      <c r="J40" s="20"/>
      <c r="K40" s="20"/>
      <c r="L40" s="17"/>
      <c r="M40" s="17"/>
      <c r="N40" s="17"/>
      <c r="O40" s="17"/>
      <c r="P40" s="17"/>
      <c r="Q40" s="17"/>
      <c r="R40" s="17"/>
      <c r="S40" s="17"/>
      <c r="T40" s="17"/>
      <c r="U40" s="234"/>
    </row>
    <row r="41" spans="1:21" ht="13.5" customHeight="1" x14ac:dyDescent="0.2">
      <c r="A41" s="6"/>
      <c r="B41" s="213"/>
      <c r="C41" s="18" t="s">
        <v>33</v>
      </c>
      <c r="D41" s="23">
        <v>1</v>
      </c>
      <c r="E41" s="20"/>
      <c r="F41" s="20"/>
      <c r="G41" s="20"/>
      <c r="H41" s="20"/>
      <c r="I41" s="20"/>
      <c r="J41" s="20"/>
      <c r="K41" s="20"/>
      <c r="L41" s="17"/>
      <c r="M41" s="17"/>
      <c r="N41" s="17"/>
      <c r="O41" s="17"/>
      <c r="P41" s="17"/>
      <c r="Q41" s="17"/>
      <c r="R41" s="17"/>
      <c r="S41" s="17"/>
      <c r="T41" s="17"/>
      <c r="U41" s="235"/>
    </row>
  </sheetData>
  <mergeCells count="22">
    <mergeCell ref="U35:U41"/>
    <mergeCell ref="B34:D34"/>
    <mergeCell ref="B35:B41"/>
    <mergeCell ref="E35:E39"/>
    <mergeCell ref="B10:D10"/>
    <mergeCell ref="B11:B17"/>
    <mergeCell ref="B18:D18"/>
    <mergeCell ref="E27:E31"/>
    <mergeCell ref="E10:G10"/>
    <mergeCell ref="E18:G18"/>
    <mergeCell ref="E26:G26"/>
    <mergeCell ref="E34:G34"/>
    <mergeCell ref="B19:B25"/>
    <mergeCell ref="B27:B33"/>
    <mergeCell ref="U27:U33"/>
    <mergeCell ref="B26:D26"/>
    <mergeCell ref="B2:D2"/>
    <mergeCell ref="B3:B9"/>
    <mergeCell ref="U3:U9"/>
    <mergeCell ref="U11:U17"/>
    <mergeCell ref="U19:U25"/>
    <mergeCell ref="E2:G2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3"/>
  <sheetViews>
    <sheetView showGridLines="0" workbookViewId="0">
      <pane xSplit="4" topLeftCell="G1" activePane="topRight" state="frozen"/>
      <selection activeCell="T19" sqref="T19:T25"/>
      <selection pane="topRight" activeCell="T19" sqref="T19:T25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0.40234375" customWidth="1"/>
    <col min="12" max="20" width="15.73828125" customWidth="1"/>
    <col min="21" max="21" width="2.95703125" customWidth="1"/>
  </cols>
  <sheetData>
    <row r="1" spans="1:21" ht="9.75" customHeight="1" x14ac:dyDescent="0.2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ht="12" customHeight="1" x14ac:dyDescent="0.2">
      <c r="A2" s="6"/>
      <c r="B2" s="208" t="s">
        <v>378</v>
      </c>
      <c r="C2" s="209"/>
      <c r="D2" s="210"/>
      <c r="E2" s="214" t="s">
        <v>2</v>
      </c>
      <c r="F2" s="215"/>
      <c r="G2" s="216"/>
      <c r="H2" s="96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7</v>
      </c>
      <c r="O2" s="77" t="s">
        <v>9</v>
      </c>
      <c r="P2" s="77" t="s">
        <v>10</v>
      </c>
      <c r="Q2" s="77" t="s">
        <v>11</v>
      </c>
      <c r="R2" s="77" t="s">
        <v>123</v>
      </c>
      <c r="S2" s="78" t="s">
        <v>12</v>
      </c>
      <c r="T2" s="101" t="s">
        <v>13</v>
      </c>
      <c r="U2" s="7"/>
    </row>
    <row r="3" spans="1:21" ht="19.899999999999999" customHeight="1" x14ac:dyDescent="0.2">
      <c r="A3" s="6"/>
      <c r="B3" s="211">
        <v>45</v>
      </c>
      <c r="C3" s="8" t="s">
        <v>14</v>
      </c>
      <c r="D3" s="12">
        <v>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270" t="s">
        <v>127</v>
      </c>
      <c r="T3" s="102"/>
      <c r="U3" s="233"/>
    </row>
    <row r="4" spans="1:21" ht="19.899999999999999" customHeight="1" x14ac:dyDescent="0.2">
      <c r="A4" s="6"/>
      <c r="B4" s="212"/>
      <c r="C4" s="11" t="s">
        <v>23</v>
      </c>
      <c r="D4" s="12">
        <f t="shared" ref="D4:D6" si="0">D3+1</f>
        <v>3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281"/>
      <c r="T4" s="103"/>
      <c r="U4" s="234"/>
    </row>
    <row r="5" spans="1:21" ht="19.899999999999999" customHeight="1" x14ac:dyDescent="0.2">
      <c r="A5" s="6"/>
      <c r="B5" s="212"/>
      <c r="C5" s="11" t="s">
        <v>25</v>
      </c>
      <c r="D5" s="12">
        <f t="shared" si="0"/>
        <v>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281"/>
      <c r="T5" s="103"/>
      <c r="U5" s="234"/>
    </row>
    <row r="6" spans="1:21" ht="19.899999999999999" customHeight="1" x14ac:dyDescent="0.2">
      <c r="A6" s="6"/>
      <c r="B6" s="212"/>
      <c r="C6" s="11" t="s">
        <v>27</v>
      </c>
      <c r="D6" s="12">
        <f t="shared" si="0"/>
        <v>5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282"/>
      <c r="T6" s="103"/>
      <c r="U6" s="234"/>
    </row>
    <row r="7" spans="1:21" ht="19.899999999999999" customHeight="1" x14ac:dyDescent="0.2">
      <c r="A7" s="6"/>
      <c r="B7" s="212"/>
      <c r="C7" s="15" t="s">
        <v>29</v>
      </c>
      <c r="D7" s="16">
        <f t="shared" ref="D7" si="1">D6+1</f>
        <v>6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09"/>
      <c r="T7" s="104"/>
      <c r="U7" s="234"/>
    </row>
    <row r="8" spans="1:21" ht="13.5" customHeight="1" x14ac:dyDescent="0.2">
      <c r="A8" s="6"/>
      <c r="B8" s="212"/>
      <c r="C8" s="18" t="s">
        <v>32</v>
      </c>
      <c r="D8" s="23">
        <f>D7+1</f>
        <v>7</v>
      </c>
      <c r="E8" s="20"/>
      <c r="F8" s="20"/>
      <c r="G8" s="20"/>
      <c r="H8" s="20"/>
      <c r="I8" s="20"/>
      <c r="J8" s="20"/>
      <c r="K8" s="20"/>
      <c r="L8" s="20"/>
      <c r="M8" s="20"/>
      <c r="N8" s="21"/>
      <c r="O8" s="21"/>
      <c r="P8" s="21"/>
      <c r="Q8" s="20"/>
      <c r="R8" s="20"/>
      <c r="S8" s="21"/>
      <c r="T8" s="105"/>
      <c r="U8" s="234"/>
    </row>
    <row r="9" spans="1:21" ht="13.5" customHeight="1" x14ac:dyDescent="0.2">
      <c r="A9" s="6"/>
      <c r="B9" s="213"/>
      <c r="C9" s="18" t="s">
        <v>33</v>
      </c>
      <c r="D9" s="23">
        <f>D8+1</f>
        <v>8</v>
      </c>
      <c r="E9" s="20"/>
      <c r="F9" s="20"/>
      <c r="G9" s="20"/>
      <c r="H9" s="20"/>
      <c r="I9" s="20"/>
      <c r="J9" s="20"/>
      <c r="K9" s="20"/>
      <c r="L9" s="20"/>
      <c r="M9" s="20"/>
      <c r="N9" s="21"/>
      <c r="O9" s="21"/>
      <c r="P9" s="21"/>
      <c r="Q9" s="20"/>
      <c r="R9" s="20"/>
      <c r="S9" s="21"/>
      <c r="T9" s="105"/>
      <c r="U9" s="235"/>
    </row>
    <row r="10" spans="1:21" ht="12" customHeight="1" x14ac:dyDescent="0.2">
      <c r="A10" s="6"/>
      <c r="B10" s="208" t="s">
        <v>378</v>
      </c>
      <c r="C10" s="209"/>
      <c r="D10" s="210"/>
      <c r="E10" s="214" t="s">
        <v>2</v>
      </c>
      <c r="F10" s="215"/>
      <c r="G10" s="216"/>
      <c r="H10" s="96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7</v>
      </c>
      <c r="O10" s="77" t="s">
        <v>9</v>
      </c>
      <c r="P10" s="77" t="s">
        <v>10</v>
      </c>
      <c r="Q10" s="77" t="s">
        <v>11</v>
      </c>
      <c r="R10" s="77" t="s">
        <v>123</v>
      </c>
      <c r="S10" s="78" t="s">
        <v>12</v>
      </c>
      <c r="T10" s="101" t="s">
        <v>13</v>
      </c>
      <c r="U10" s="7"/>
    </row>
    <row r="11" spans="1:21" ht="19.899999999999999" customHeight="1" x14ac:dyDescent="0.2">
      <c r="A11" s="6"/>
      <c r="B11" s="211">
        <f>B3+1</f>
        <v>46</v>
      </c>
      <c r="C11" s="8" t="s">
        <v>14</v>
      </c>
      <c r="D11" s="9">
        <f>D9+1</f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2"/>
      <c r="U11" s="233"/>
    </row>
    <row r="12" spans="1:21" ht="19.899999999999999" customHeight="1" x14ac:dyDescent="0.2">
      <c r="A12" s="6"/>
      <c r="B12" s="212"/>
      <c r="C12" s="11" t="s">
        <v>23</v>
      </c>
      <c r="D12" s="12">
        <f t="shared" ref="D12:D15" si="2">D11+1</f>
        <v>10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03"/>
      <c r="U12" s="234"/>
    </row>
    <row r="13" spans="1:21" ht="19.899999999999999" customHeight="1" x14ac:dyDescent="0.2">
      <c r="A13" s="6"/>
      <c r="B13" s="212"/>
      <c r="C13" s="11" t="s">
        <v>25</v>
      </c>
      <c r="D13" s="12">
        <f t="shared" si="2"/>
        <v>11</v>
      </c>
      <c r="E13" s="13"/>
      <c r="F13" s="13"/>
      <c r="G13" s="13"/>
      <c r="H13" s="13"/>
      <c r="I13" s="13"/>
      <c r="J13" s="13"/>
      <c r="K13" s="27" t="s">
        <v>28</v>
      </c>
      <c r="L13" s="27" t="s">
        <v>28</v>
      </c>
      <c r="M13" s="27" t="s">
        <v>28</v>
      </c>
      <c r="N13" s="28" t="s">
        <v>28</v>
      </c>
      <c r="O13" s="28" t="s">
        <v>28</v>
      </c>
      <c r="P13" s="28" t="s">
        <v>28</v>
      </c>
      <c r="Q13" s="28" t="s">
        <v>28</v>
      </c>
      <c r="R13" s="28" t="s">
        <v>28</v>
      </c>
      <c r="S13" s="28" t="s">
        <v>28</v>
      </c>
      <c r="T13" s="106" t="s">
        <v>28</v>
      </c>
      <c r="U13" s="234"/>
    </row>
    <row r="14" spans="1:21" ht="19.899999999999999" customHeight="1" x14ac:dyDescent="0.2">
      <c r="A14" s="6"/>
      <c r="B14" s="212"/>
      <c r="C14" s="11" t="s">
        <v>27</v>
      </c>
      <c r="D14" s="12">
        <f t="shared" si="2"/>
        <v>12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03"/>
      <c r="U14" s="234"/>
    </row>
    <row r="15" spans="1:21" ht="19.899999999999999" customHeight="1" x14ac:dyDescent="0.2">
      <c r="A15" s="6"/>
      <c r="B15" s="212"/>
      <c r="C15" s="15" t="s">
        <v>29</v>
      </c>
      <c r="D15" s="16">
        <f t="shared" si="2"/>
        <v>13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04"/>
      <c r="U15" s="234"/>
    </row>
    <row r="16" spans="1:21" ht="13.5" customHeight="1" x14ac:dyDescent="0.2">
      <c r="A16" s="6"/>
      <c r="B16" s="212"/>
      <c r="C16" s="18" t="s">
        <v>32</v>
      </c>
      <c r="D16" s="23">
        <f>D15+1</f>
        <v>14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105"/>
      <c r="U16" s="234"/>
    </row>
    <row r="17" spans="1:21" ht="13.5" customHeight="1" x14ac:dyDescent="0.2">
      <c r="A17" s="6"/>
      <c r="B17" s="213"/>
      <c r="C17" s="18" t="s">
        <v>33</v>
      </c>
      <c r="D17" s="23">
        <f>D16+1</f>
        <v>15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105"/>
      <c r="U17" s="235"/>
    </row>
    <row r="18" spans="1:21" ht="12" customHeight="1" x14ac:dyDescent="0.2">
      <c r="A18" s="6"/>
      <c r="B18" s="208" t="s">
        <v>378</v>
      </c>
      <c r="C18" s="209"/>
      <c r="D18" s="210"/>
      <c r="E18" s="214" t="s">
        <v>2</v>
      </c>
      <c r="F18" s="215"/>
      <c r="G18" s="216"/>
      <c r="H18" s="96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7</v>
      </c>
      <c r="O18" s="77" t="s">
        <v>9</v>
      </c>
      <c r="P18" s="77" t="s">
        <v>10</v>
      </c>
      <c r="Q18" s="77" t="s">
        <v>11</v>
      </c>
      <c r="R18" s="77" t="s">
        <v>123</v>
      </c>
      <c r="S18" s="78" t="s">
        <v>12</v>
      </c>
      <c r="T18" s="101" t="s">
        <v>13</v>
      </c>
      <c r="U18" s="7"/>
    </row>
    <row r="19" spans="1:21" ht="19.899999999999999" customHeight="1" x14ac:dyDescent="0.2">
      <c r="A19" s="6"/>
      <c r="B19" s="211">
        <f>B11+1</f>
        <v>47</v>
      </c>
      <c r="C19" s="8" t="s">
        <v>14</v>
      </c>
      <c r="D19" s="9">
        <f>D17+1</f>
        <v>16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270" t="s">
        <v>127</v>
      </c>
      <c r="R19" s="10"/>
      <c r="S19" s="10"/>
      <c r="T19" s="102"/>
      <c r="U19" s="233"/>
    </row>
    <row r="20" spans="1:21" ht="19.899999999999999" customHeight="1" x14ac:dyDescent="0.2">
      <c r="A20" s="6"/>
      <c r="B20" s="212"/>
      <c r="C20" s="11" t="s">
        <v>23</v>
      </c>
      <c r="D20" s="12">
        <f t="shared" ref="D20:D23" si="3">D19+1</f>
        <v>17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281"/>
      <c r="R20" s="13"/>
      <c r="S20" s="13"/>
      <c r="T20" s="103"/>
      <c r="U20" s="234"/>
    </row>
    <row r="21" spans="1:21" ht="19.899999999999999" customHeight="1" x14ac:dyDescent="0.2">
      <c r="A21" s="6"/>
      <c r="B21" s="212"/>
      <c r="C21" s="11" t="s">
        <v>25</v>
      </c>
      <c r="D21" s="12">
        <f t="shared" si="3"/>
        <v>18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281"/>
      <c r="R21" s="13"/>
      <c r="S21" s="13"/>
      <c r="T21" s="103"/>
      <c r="U21" s="234"/>
    </row>
    <row r="22" spans="1:21" ht="19.899999999999999" customHeight="1" x14ac:dyDescent="0.2">
      <c r="A22" s="6"/>
      <c r="B22" s="212"/>
      <c r="C22" s="11" t="s">
        <v>27</v>
      </c>
      <c r="D22" s="12">
        <f t="shared" si="3"/>
        <v>19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282"/>
      <c r="R22" s="13"/>
      <c r="S22" s="13"/>
      <c r="T22" s="103"/>
      <c r="U22" s="234"/>
    </row>
    <row r="23" spans="1:21" ht="19.899999999999999" customHeight="1" x14ac:dyDescent="0.2">
      <c r="A23" s="6"/>
      <c r="B23" s="212"/>
      <c r="C23" s="15" t="s">
        <v>29</v>
      </c>
      <c r="D23" s="16">
        <f t="shared" si="3"/>
        <v>20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09"/>
      <c r="R23" s="17"/>
      <c r="S23" s="17"/>
      <c r="T23" s="104"/>
      <c r="U23" s="234"/>
    </row>
    <row r="24" spans="1:21" ht="13.5" customHeight="1" x14ac:dyDescent="0.2">
      <c r="A24" s="6"/>
      <c r="B24" s="212"/>
      <c r="C24" s="18" t="s">
        <v>32</v>
      </c>
      <c r="D24" s="23">
        <f>D23+1</f>
        <v>21</v>
      </c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0"/>
      <c r="P24" s="20"/>
      <c r="Q24" s="20"/>
      <c r="R24" s="20"/>
      <c r="S24" s="21"/>
      <c r="T24" s="105"/>
      <c r="U24" s="234"/>
    </row>
    <row r="25" spans="1:21" ht="13.5" customHeight="1" x14ac:dyDescent="0.2">
      <c r="A25" s="6"/>
      <c r="B25" s="213"/>
      <c r="C25" s="18" t="s">
        <v>33</v>
      </c>
      <c r="D25" s="23">
        <f>D24+1</f>
        <v>22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0"/>
      <c r="P25" s="20"/>
      <c r="Q25" s="20"/>
      <c r="R25" s="20"/>
      <c r="S25" s="21"/>
      <c r="T25" s="105"/>
      <c r="U25" s="235"/>
    </row>
    <row r="26" spans="1:21" ht="12" customHeight="1" x14ac:dyDescent="0.2">
      <c r="A26" s="6"/>
      <c r="B26" s="208" t="s">
        <v>378</v>
      </c>
      <c r="C26" s="209"/>
      <c r="D26" s="210"/>
      <c r="E26" s="214" t="s">
        <v>2</v>
      </c>
      <c r="F26" s="215"/>
      <c r="G26" s="216"/>
      <c r="H26" s="96"/>
      <c r="I26" s="98" t="s">
        <v>3</v>
      </c>
      <c r="J26" s="98" t="s">
        <v>4</v>
      </c>
      <c r="K26" s="31"/>
      <c r="L26" s="77" t="s">
        <v>5</v>
      </c>
      <c r="M26" s="77" t="s">
        <v>6</v>
      </c>
      <c r="N26" s="77" t="s">
        <v>7</v>
      </c>
      <c r="O26" s="77" t="s">
        <v>9</v>
      </c>
      <c r="P26" s="77" t="s">
        <v>10</v>
      </c>
      <c r="Q26" s="77" t="s">
        <v>11</v>
      </c>
      <c r="R26" s="77" t="s">
        <v>123</v>
      </c>
      <c r="S26" s="78" t="s">
        <v>12</v>
      </c>
      <c r="T26" s="101" t="s">
        <v>13</v>
      </c>
      <c r="U26" s="7"/>
    </row>
    <row r="27" spans="1:21" ht="19.899999999999999" customHeight="1" x14ac:dyDescent="0.2">
      <c r="A27" s="6"/>
      <c r="B27" s="211">
        <f>B19+1</f>
        <v>48</v>
      </c>
      <c r="C27" s="8" t="s">
        <v>14</v>
      </c>
      <c r="D27" s="9">
        <f>D25+1</f>
        <v>23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2"/>
      <c r="U27" s="233"/>
    </row>
    <row r="28" spans="1:21" ht="19.899999999999999" customHeight="1" x14ac:dyDescent="0.2">
      <c r="A28" s="6"/>
      <c r="B28" s="212"/>
      <c r="C28" s="11" t="s">
        <v>23</v>
      </c>
      <c r="D28" s="12">
        <f t="shared" ref="D28:D31" si="4">D27+1</f>
        <v>24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03"/>
      <c r="U28" s="234"/>
    </row>
    <row r="29" spans="1:21" ht="19.899999999999999" customHeight="1" x14ac:dyDescent="0.2">
      <c r="A29" s="6"/>
      <c r="B29" s="212"/>
      <c r="C29" s="11" t="s">
        <v>25</v>
      </c>
      <c r="D29" s="12">
        <f t="shared" si="4"/>
        <v>25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03"/>
      <c r="U29" s="234"/>
    </row>
    <row r="30" spans="1:21" ht="19.899999999999999" customHeight="1" x14ac:dyDescent="0.2">
      <c r="A30" s="6"/>
      <c r="B30" s="212"/>
      <c r="C30" s="11" t="s">
        <v>27</v>
      </c>
      <c r="D30" s="12">
        <f t="shared" si="4"/>
        <v>26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277" t="s">
        <v>379</v>
      </c>
      <c r="S30" s="13"/>
      <c r="T30" s="103"/>
      <c r="U30" s="234"/>
    </row>
    <row r="31" spans="1:21" ht="19.899999999999999" customHeight="1" x14ac:dyDescent="0.2">
      <c r="A31" s="6"/>
      <c r="B31" s="212"/>
      <c r="C31" s="15" t="s">
        <v>29</v>
      </c>
      <c r="D31" s="16">
        <f t="shared" si="4"/>
        <v>27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282"/>
      <c r="S31" s="17"/>
      <c r="T31" s="17"/>
      <c r="U31" s="234"/>
    </row>
    <row r="32" spans="1:21" ht="13.5" customHeight="1" x14ac:dyDescent="0.2">
      <c r="A32" s="6"/>
      <c r="B32" s="212"/>
      <c r="C32" s="18" t="s">
        <v>32</v>
      </c>
      <c r="D32" s="23">
        <f>D31+1</f>
        <v>28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  <c r="T32" s="21"/>
      <c r="U32" s="234"/>
    </row>
    <row r="33" spans="1:21" ht="13.5" customHeight="1" x14ac:dyDescent="0.2">
      <c r="A33" s="6"/>
      <c r="B33" s="213"/>
      <c r="C33" s="18" t="s">
        <v>33</v>
      </c>
      <c r="D33" s="23">
        <f>D32+1</f>
        <v>29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1"/>
      <c r="T33" s="21"/>
      <c r="U33" s="235"/>
    </row>
  </sheetData>
  <mergeCells count="19">
    <mergeCell ref="U27:U33"/>
    <mergeCell ref="E2:G2"/>
    <mergeCell ref="E10:G10"/>
    <mergeCell ref="E18:G18"/>
    <mergeCell ref="E26:G26"/>
    <mergeCell ref="U3:U9"/>
    <mergeCell ref="U11:U17"/>
    <mergeCell ref="U19:U25"/>
    <mergeCell ref="S3:S6"/>
    <mergeCell ref="Q19:Q22"/>
    <mergeCell ref="R30:R31"/>
    <mergeCell ref="B19:B25"/>
    <mergeCell ref="B26:D26"/>
    <mergeCell ref="B27:B33"/>
    <mergeCell ref="B2:D2"/>
    <mergeCell ref="B3:B9"/>
    <mergeCell ref="B10:D10"/>
    <mergeCell ref="B11:B17"/>
    <mergeCell ref="B18:D18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"/>
  <sheetViews>
    <sheetView showGridLines="0" workbookViewId="0">
      <pane xSplit="4" topLeftCell="M1" activePane="topRight" state="frozen"/>
      <selection activeCell="T19" sqref="T19:T25"/>
      <selection pane="topRight" activeCell="T19" sqref="T19:T25"/>
    </sheetView>
  </sheetViews>
  <sheetFormatPr defaultColWidth="14.390625" defaultRowHeight="15" customHeight="1" x14ac:dyDescent="0.2"/>
  <cols>
    <col min="1" max="1" width="1.61328125" customWidth="1"/>
    <col min="2" max="2" width="4.3046875" customWidth="1"/>
    <col min="3" max="3" width="4.83984375" customWidth="1"/>
    <col min="4" max="4" width="2.82421875" customWidth="1"/>
    <col min="5" max="7" width="15.73828125" customWidth="1"/>
    <col min="8" max="8" width="0.40234375" customWidth="1"/>
    <col min="9" max="10" width="16.6796875" customWidth="1"/>
    <col min="11" max="11" width="0.40234375" customWidth="1"/>
    <col min="12" max="20" width="15.73828125" customWidth="1"/>
    <col min="21" max="21" width="2.95703125" customWidth="1"/>
  </cols>
  <sheetData>
    <row r="1" spans="1:21" ht="9.75" customHeight="1" x14ac:dyDescent="0.2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ht="12" customHeight="1" x14ac:dyDescent="0.2">
      <c r="A2" s="6"/>
      <c r="B2" s="208" t="s">
        <v>380</v>
      </c>
      <c r="C2" s="209"/>
      <c r="D2" s="210"/>
      <c r="E2" s="214" t="s">
        <v>2</v>
      </c>
      <c r="F2" s="215"/>
      <c r="G2" s="216"/>
      <c r="H2" s="96"/>
      <c r="I2" s="98" t="s">
        <v>3</v>
      </c>
      <c r="J2" s="98" t="s">
        <v>4</v>
      </c>
      <c r="K2" s="31"/>
      <c r="L2" s="77" t="s">
        <v>5</v>
      </c>
      <c r="M2" s="77" t="s">
        <v>6</v>
      </c>
      <c r="N2" s="77" t="s">
        <v>7</v>
      </c>
      <c r="O2" s="77" t="s">
        <v>9</v>
      </c>
      <c r="P2" s="77" t="s">
        <v>10</v>
      </c>
      <c r="Q2" s="77" t="s">
        <v>11</v>
      </c>
      <c r="R2" s="77" t="s">
        <v>123</v>
      </c>
      <c r="S2" s="78" t="s">
        <v>12</v>
      </c>
      <c r="T2" s="79" t="s">
        <v>13</v>
      </c>
      <c r="U2" s="7"/>
    </row>
    <row r="3" spans="1:21" ht="19.899999999999999" customHeight="1" x14ac:dyDescent="0.2">
      <c r="A3" s="6"/>
      <c r="B3" s="211">
        <v>49</v>
      </c>
      <c r="C3" s="8" t="s">
        <v>14</v>
      </c>
      <c r="D3" s="12">
        <v>30</v>
      </c>
      <c r="E3" s="25"/>
      <c r="F3" s="25"/>
      <c r="G3" s="25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233"/>
    </row>
    <row r="4" spans="1:21" ht="19.899999999999999" customHeight="1" x14ac:dyDescent="0.2">
      <c r="A4" s="6"/>
      <c r="B4" s="212"/>
      <c r="C4" s="11" t="s">
        <v>23</v>
      </c>
      <c r="D4" s="12">
        <v>1</v>
      </c>
      <c r="E4" s="29"/>
      <c r="F4" s="29"/>
      <c r="G4" s="29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234"/>
    </row>
    <row r="5" spans="1:21" ht="19.899999999999999" customHeight="1" x14ac:dyDescent="0.2">
      <c r="A5" s="6"/>
      <c r="B5" s="212"/>
      <c r="C5" s="11" t="s">
        <v>25</v>
      </c>
      <c r="D5" s="12">
        <f t="shared" ref="D5:D6" si="0">D4+1</f>
        <v>2</v>
      </c>
      <c r="E5" s="29"/>
      <c r="F5" s="29"/>
      <c r="G5" s="29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234"/>
    </row>
    <row r="6" spans="1:21" ht="19.899999999999999" customHeight="1" x14ac:dyDescent="0.2">
      <c r="A6" s="6"/>
      <c r="B6" s="212"/>
      <c r="C6" s="11" t="s">
        <v>27</v>
      </c>
      <c r="D6" s="12">
        <f t="shared" si="0"/>
        <v>3</v>
      </c>
      <c r="E6" s="29"/>
      <c r="F6" s="29"/>
      <c r="G6" s="29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234"/>
    </row>
    <row r="7" spans="1:21" ht="19.899999999999999" customHeight="1" x14ac:dyDescent="0.2">
      <c r="A7" s="6"/>
      <c r="B7" s="212"/>
      <c r="C7" s="15" t="s">
        <v>29</v>
      </c>
      <c r="D7" s="16">
        <f t="shared" ref="D7" si="1">D6+1</f>
        <v>4</v>
      </c>
      <c r="E7" s="30"/>
      <c r="F7" s="30"/>
      <c r="G7" s="30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234"/>
    </row>
    <row r="8" spans="1:21" ht="13.5" customHeight="1" x14ac:dyDescent="0.2">
      <c r="A8" s="6"/>
      <c r="B8" s="212"/>
      <c r="C8" s="18" t="s">
        <v>32</v>
      </c>
      <c r="D8" s="23">
        <f>D7+1</f>
        <v>5</v>
      </c>
      <c r="E8" s="20"/>
      <c r="F8" s="20"/>
      <c r="G8" s="20"/>
      <c r="H8" s="20"/>
      <c r="I8" s="20"/>
      <c r="J8" s="20"/>
      <c r="K8" s="20"/>
      <c r="L8" s="20"/>
      <c r="M8" s="20"/>
      <c r="N8" s="21"/>
      <c r="O8" s="21"/>
      <c r="P8" s="21"/>
      <c r="Q8" s="20"/>
      <c r="R8" s="20"/>
      <c r="S8" s="21"/>
      <c r="T8" s="21"/>
      <c r="U8" s="234"/>
    </row>
    <row r="9" spans="1:21" ht="13.5" customHeight="1" x14ac:dyDescent="0.2">
      <c r="A9" s="6"/>
      <c r="B9" s="213"/>
      <c r="C9" s="18" t="s">
        <v>33</v>
      </c>
      <c r="D9" s="23">
        <f>D8+1</f>
        <v>6</v>
      </c>
      <c r="E9" s="20"/>
      <c r="F9" s="20"/>
      <c r="G9" s="20"/>
      <c r="H9" s="20"/>
      <c r="I9" s="20"/>
      <c r="J9" s="20"/>
      <c r="K9" s="20"/>
      <c r="L9" s="20"/>
      <c r="M9" s="20"/>
      <c r="N9" s="21"/>
      <c r="O9" s="21"/>
      <c r="P9" s="21"/>
      <c r="Q9" s="20"/>
      <c r="R9" s="20"/>
      <c r="S9" s="21"/>
      <c r="T9" s="21"/>
      <c r="U9" s="235"/>
    </row>
    <row r="10" spans="1:21" ht="12" customHeight="1" x14ac:dyDescent="0.2">
      <c r="A10" s="6"/>
      <c r="B10" s="208" t="s">
        <v>380</v>
      </c>
      <c r="C10" s="209"/>
      <c r="D10" s="210"/>
      <c r="E10" s="214" t="s">
        <v>2</v>
      </c>
      <c r="F10" s="215"/>
      <c r="G10" s="216"/>
      <c r="H10" s="96"/>
      <c r="I10" s="98" t="s">
        <v>3</v>
      </c>
      <c r="J10" s="98" t="s">
        <v>4</v>
      </c>
      <c r="K10" s="31"/>
      <c r="L10" s="77" t="s">
        <v>5</v>
      </c>
      <c r="M10" s="77" t="s">
        <v>6</v>
      </c>
      <c r="N10" s="77" t="s">
        <v>7</v>
      </c>
      <c r="O10" s="77" t="s">
        <v>9</v>
      </c>
      <c r="P10" s="77" t="s">
        <v>10</v>
      </c>
      <c r="Q10" s="77" t="s">
        <v>11</v>
      </c>
      <c r="R10" s="77" t="s">
        <v>123</v>
      </c>
      <c r="S10" s="78" t="s">
        <v>12</v>
      </c>
      <c r="T10" s="79" t="s">
        <v>13</v>
      </c>
      <c r="U10" s="7"/>
    </row>
    <row r="11" spans="1:21" ht="19.899999999999999" customHeight="1" x14ac:dyDescent="0.2">
      <c r="A11" s="6"/>
      <c r="B11" s="211">
        <f>B3+1</f>
        <v>50</v>
      </c>
      <c r="C11" s="8" t="s">
        <v>14</v>
      </c>
      <c r="D11" s="9">
        <f>D9+1</f>
        <v>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233"/>
    </row>
    <row r="12" spans="1:21" ht="19.899999999999999" customHeight="1" x14ac:dyDescent="0.2">
      <c r="A12" s="6"/>
      <c r="B12" s="212"/>
      <c r="C12" s="11" t="s">
        <v>23</v>
      </c>
      <c r="D12" s="12">
        <f t="shared" ref="D12:D15" si="2">D11+1</f>
        <v>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234"/>
    </row>
    <row r="13" spans="1:21" ht="19.899999999999999" customHeight="1" x14ac:dyDescent="0.2">
      <c r="A13" s="6"/>
      <c r="B13" s="212"/>
      <c r="C13" s="11" t="s">
        <v>25</v>
      </c>
      <c r="D13" s="12">
        <f t="shared" si="2"/>
        <v>9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234"/>
    </row>
    <row r="14" spans="1:21" ht="19.899999999999999" customHeight="1" x14ac:dyDescent="0.2">
      <c r="A14" s="6"/>
      <c r="B14" s="212"/>
      <c r="C14" s="11" t="s">
        <v>27</v>
      </c>
      <c r="D14" s="12">
        <f t="shared" si="2"/>
        <v>10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234"/>
    </row>
    <row r="15" spans="1:21" ht="19.899999999999999" customHeight="1" x14ac:dyDescent="0.2">
      <c r="A15" s="6"/>
      <c r="B15" s="212"/>
      <c r="C15" s="15" t="s">
        <v>29</v>
      </c>
      <c r="D15" s="16">
        <f t="shared" si="2"/>
        <v>11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234"/>
    </row>
    <row r="16" spans="1:21" ht="13.5" customHeight="1" x14ac:dyDescent="0.2">
      <c r="A16" s="6"/>
      <c r="B16" s="212"/>
      <c r="C16" s="18" t="s">
        <v>32</v>
      </c>
      <c r="D16" s="23">
        <f>D15+1</f>
        <v>12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1"/>
      <c r="U16" s="234"/>
    </row>
    <row r="17" spans="1:21" ht="13.5" customHeight="1" x14ac:dyDescent="0.2">
      <c r="A17" s="6"/>
      <c r="B17" s="213"/>
      <c r="C17" s="18" t="s">
        <v>33</v>
      </c>
      <c r="D17" s="23">
        <f>D16+1</f>
        <v>13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21"/>
      <c r="U17" s="235"/>
    </row>
    <row r="18" spans="1:21" ht="12" customHeight="1" x14ac:dyDescent="0.2">
      <c r="A18" s="6"/>
      <c r="B18" s="208" t="s">
        <v>380</v>
      </c>
      <c r="C18" s="209"/>
      <c r="D18" s="210"/>
      <c r="E18" s="214" t="s">
        <v>2</v>
      </c>
      <c r="F18" s="215"/>
      <c r="G18" s="216"/>
      <c r="H18" s="96"/>
      <c r="I18" s="98" t="s">
        <v>3</v>
      </c>
      <c r="J18" s="98" t="s">
        <v>4</v>
      </c>
      <c r="K18" s="31"/>
      <c r="L18" s="77" t="s">
        <v>5</v>
      </c>
      <c r="M18" s="77" t="s">
        <v>6</v>
      </c>
      <c r="N18" s="77" t="s">
        <v>7</v>
      </c>
      <c r="O18" s="77" t="s">
        <v>9</v>
      </c>
      <c r="P18" s="77" t="s">
        <v>10</v>
      </c>
      <c r="Q18" s="77" t="s">
        <v>11</v>
      </c>
      <c r="R18" s="77" t="s">
        <v>123</v>
      </c>
      <c r="S18" s="78" t="s">
        <v>12</v>
      </c>
      <c r="T18" s="79" t="s">
        <v>13</v>
      </c>
      <c r="U18" s="7"/>
    </row>
    <row r="19" spans="1:21" ht="19.899999999999999" customHeight="1" x14ac:dyDescent="0.2">
      <c r="A19" s="6"/>
      <c r="B19" s="211">
        <f>B11+1</f>
        <v>51</v>
      </c>
      <c r="C19" s="8" t="s">
        <v>14</v>
      </c>
      <c r="D19" s="9">
        <f>D17+1</f>
        <v>14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233"/>
    </row>
    <row r="20" spans="1:21" ht="19.899999999999999" customHeight="1" x14ac:dyDescent="0.2">
      <c r="A20" s="6"/>
      <c r="B20" s="212"/>
      <c r="C20" s="11" t="s">
        <v>23</v>
      </c>
      <c r="D20" s="12">
        <f t="shared" ref="D20:D23" si="3">D19+1</f>
        <v>15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234"/>
    </row>
    <row r="21" spans="1:21" ht="19.899999999999999" customHeight="1" x14ac:dyDescent="0.2">
      <c r="A21" s="6"/>
      <c r="B21" s="212"/>
      <c r="C21" s="11" t="s">
        <v>25</v>
      </c>
      <c r="D21" s="12">
        <f t="shared" si="3"/>
        <v>16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234"/>
    </row>
    <row r="22" spans="1:21" ht="19.899999999999999" customHeight="1" x14ac:dyDescent="0.2">
      <c r="A22" s="6"/>
      <c r="B22" s="212"/>
      <c r="C22" s="11" t="s">
        <v>27</v>
      </c>
      <c r="D22" s="12">
        <f t="shared" si="3"/>
        <v>17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234"/>
    </row>
    <row r="23" spans="1:21" ht="19.899999999999999" customHeight="1" x14ac:dyDescent="0.2">
      <c r="A23" s="6"/>
      <c r="B23" s="212"/>
      <c r="C23" s="15" t="s">
        <v>29</v>
      </c>
      <c r="D23" s="16">
        <f t="shared" si="3"/>
        <v>18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234"/>
    </row>
    <row r="24" spans="1:21" ht="13.5" customHeight="1" x14ac:dyDescent="0.2">
      <c r="A24" s="6"/>
      <c r="B24" s="212"/>
      <c r="C24" s="18" t="s">
        <v>32</v>
      </c>
      <c r="D24" s="23">
        <f>D23+1</f>
        <v>19</v>
      </c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0"/>
      <c r="P24" s="20"/>
      <c r="Q24" s="20"/>
      <c r="R24" s="20"/>
      <c r="S24" s="21"/>
      <c r="T24" s="21"/>
      <c r="U24" s="234"/>
    </row>
    <row r="25" spans="1:21" ht="13.5" customHeight="1" x14ac:dyDescent="0.2">
      <c r="A25" s="6"/>
      <c r="B25" s="213"/>
      <c r="C25" s="18" t="s">
        <v>33</v>
      </c>
      <c r="D25" s="23">
        <f>D24+1</f>
        <v>20</v>
      </c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0"/>
      <c r="P25" s="20"/>
      <c r="Q25" s="20"/>
      <c r="R25" s="20"/>
      <c r="S25" s="21"/>
      <c r="T25" s="21"/>
      <c r="U25" s="235"/>
    </row>
    <row r="26" spans="1:21" ht="12" customHeight="1" x14ac:dyDescent="0.2">
      <c r="A26" s="6"/>
      <c r="B26" s="208" t="s">
        <v>380</v>
      </c>
      <c r="C26" s="209"/>
      <c r="D26" s="210"/>
      <c r="E26" s="214" t="s">
        <v>2</v>
      </c>
      <c r="F26" s="215"/>
      <c r="G26" s="216"/>
      <c r="H26" s="96"/>
      <c r="I26" s="98" t="s">
        <v>3</v>
      </c>
      <c r="J26" s="98" t="s">
        <v>4</v>
      </c>
      <c r="K26" s="31"/>
      <c r="L26" s="77" t="s">
        <v>5</v>
      </c>
      <c r="M26" s="77" t="s">
        <v>6</v>
      </c>
      <c r="N26" s="77" t="s">
        <v>7</v>
      </c>
      <c r="O26" s="77" t="s">
        <v>9</v>
      </c>
      <c r="P26" s="77" t="s">
        <v>10</v>
      </c>
      <c r="Q26" s="77" t="s">
        <v>11</v>
      </c>
      <c r="R26" s="77" t="s">
        <v>123</v>
      </c>
      <c r="S26" s="78" t="s">
        <v>12</v>
      </c>
      <c r="T26" s="79" t="s">
        <v>13</v>
      </c>
      <c r="U26" s="7"/>
    </row>
    <row r="27" spans="1:21" ht="19.899999999999999" customHeight="1" x14ac:dyDescent="0.2">
      <c r="A27" s="6"/>
      <c r="B27" s="211">
        <f>B19+1</f>
        <v>52</v>
      </c>
      <c r="C27" s="8" t="s">
        <v>14</v>
      </c>
      <c r="D27" s="9">
        <f>D25+1</f>
        <v>21</v>
      </c>
      <c r="E27" s="292" t="s">
        <v>15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233"/>
    </row>
    <row r="28" spans="1:21" ht="19.899999999999999" customHeight="1" x14ac:dyDescent="0.2">
      <c r="A28" s="6"/>
      <c r="B28" s="212"/>
      <c r="C28" s="11" t="s">
        <v>23</v>
      </c>
      <c r="D28" s="12">
        <f t="shared" ref="D28:D31" si="4">D27+1</f>
        <v>22</v>
      </c>
      <c r="E28" s="2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234"/>
    </row>
    <row r="29" spans="1:21" ht="19.899999999999999" customHeight="1" x14ac:dyDescent="0.2">
      <c r="A29" s="6"/>
      <c r="B29" s="212"/>
      <c r="C29" s="11" t="s">
        <v>25</v>
      </c>
      <c r="D29" s="12">
        <f t="shared" si="4"/>
        <v>23</v>
      </c>
      <c r="E29" s="2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234"/>
    </row>
    <row r="30" spans="1:21" ht="19.899999999999999" customHeight="1" x14ac:dyDescent="0.2">
      <c r="A30" s="6"/>
      <c r="B30" s="212"/>
      <c r="C30" s="11" t="s">
        <v>27</v>
      </c>
      <c r="D30" s="12">
        <f t="shared" si="4"/>
        <v>24</v>
      </c>
      <c r="E30" s="2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234"/>
    </row>
    <row r="31" spans="1:21" ht="19.899999999999999" customHeight="1" x14ac:dyDescent="0.2">
      <c r="A31" s="6"/>
      <c r="B31" s="212"/>
      <c r="C31" s="15" t="s">
        <v>29</v>
      </c>
      <c r="D31" s="16">
        <f t="shared" si="4"/>
        <v>25</v>
      </c>
      <c r="E31" s="213"/>
      <c r="F31" s="17"/>
      <c r="G31" s="17"/>
      <c r="H31" s="17"/>
      <c r="I31" s="17"/>
      <c r="J31" s="17"/>
      <c r="K31" s="17"/>
      <c r="L31" s="14" t="s">
        <v>28</v>
      </c>
      <c r="M31" s="14" t="s">
        <v>28</v>
      </c>
      <c r="N31" s="14" t="s">
        <v>28</v>
      </c>
      <c r="O31" s="14" t="s">
        <v>28</v>
      </c>
      <c r="P31" s="14" t="s">
        <v>28</v>
      </c>
      <c r="Q31" s="14" t="s">
        <v>28</v>
      </c>
      <c r="R31" s="14" t="s">
        <v>28</v>
      </c>
      <c r="S31" s="14" t="s">
        <v>28</v>
      </c>
      <c r="T31" s="14" t="s">
        <v>28</v>
      </c>
      <c r="U31" s="234"/>
    </row>
    <row r="32" spans="1:21" ht="13.5" customHeight="1" x14ac:dyDescent="0.2">
      <c r="A32" s="6"/>
      <c r="B32" s="212"/>
      <c r="C32" s="18" t="s">
        <v>32</v>
      </c>
      <c r="D32" s="23">
        <f>D31+1</f>
        <v>26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  <c r="T32" s="21"/>
      <c r="U32" s="234"/>
    </row>
    <row r="33" spans="1:21" ht="13.5" customHeight="1" x14ac:dyDescent="0.2">
      <c r="A33" s="6"/>
      <c r="B33" s="213"/>
      <c r="C33" s="18" t="s">
        <v>33</v>
      </c>
      <c r="D33" s="23">
        <f>D32+1</f>
        <v>27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1"/>
      <c r="T33" s="21"/>
      <c r="U33" s="235"/>
    </row>
    <row r="34" spans="1:21" ht="12" customHeight="1" x14ac:dyDescent="0.2">
      <c r="A34" s="6"/>
      <c r="B34" s="208" t="s">
        <v>381</v>
      </c>
      <c r="C34" s="209"/>
      <c r="D34" s="210"/>
      <c r="E34" s="214" t="s">
        <v>2</v>
      </c>
      <c r="F34" s="215"/>
      <c r="G34" s="216"/>
      <c r="H34" s="96"/>
      <c r="I34" s="98" t="s">
        <v>3</v>
      </c>
      <c r="J34" s="98" t="s">
        <v>4</v>
      </c>
      <c r="K34" s="31"/>
      <c r="L34" s="77" t="s">
        <v>5</v>
      </c>
      <c r="M34" s="77" t="s">
        <v>6</v>
      </c>
      <c r="N34" s="77" t="s">
        <v>7</v>
      </c>
      <c r="O34" s="77" t="s">
        <v>9</v>
      </c>
      <c r="P34" s="77" t="s">
        <v>10</v>
      </c>
      <c r="Q34" s="77" t="s">
        <v>11</v>
      </c>
      <c r="R34" s="77" t="s">
        <v>123</v>
      </c>
      <c r="S34" s="78" t="s">
        <v>12</v>
      </c>
      <c r="T34" s="79" t="s">
        <v>13</v>
      </c>
      <c r="U34" s="233"/>
    </row>
    <row r="35" spans="1:21" ht="19.899999999999999" customHeight="1" x14ac:dyDescent="0.2">
      <c r="A35" s="6"/>
      <c r="B35" s="211">
        <v>1</v>
      </c>
      <c r="C35" s="8" t="s">
        <v>14</v>
      </c>
      <c r="D35" s="9">
        <f>D33+1</f>
        <v>28</v>
      </c>
      <c r="E35" s="292" t="s">
        <v>15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234"/>
    </row>
    <row r="36" spans="1:21" ht="19.899999999999999" customHeight="1" x14ac:dyDescent="0.2">
      <c r="A36" s="6"/>
      <c r="B36" s="212"/>
      <c r="C36" s="11" t="s">
        <v>23</v>
      </c>
      <c r="D36" s="12">
        <f t="shared" ref="D36:D37" si="5">D35+1</f>
        <v>29</v>
      </c>
      <c r="E36" s="21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234"/>
    </row>
    <row r="37" spans="1:21" ht="19.899999999999999" customHeight="1" x14ac:dyDescent="0.2">
      <c r="A37" s="6"/>
      <c r="B37" s="212"/>
      <c r="C37" s="11" t="s">
        <v>25</v>
      </c>
      <c r="D37" s="12">
        <f t="shared" si="5"/>
        <v>30</v>
      </c>
      <c r="E37" s="2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234"/>
    </row>
    <row r="38" spans="1:21" ht="19.899999999999999" customHeight="1" x14ac:dyDescent="0.2">
      <c r="A38" s="6"/>
      <c r="B38" s="212"/>
      <c r="C38" s="11" t="s">
        <v>27</v>
      </c>
      <c r="D38" s="12">
        <v>31</v>
      </c>
      <c r="E38" s="212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234"/>
    </row>
    <row r="39" spans="1:21" ht="19.899999999999999" customHeight="1" x14ac:dyDescent="0.2">
      <c r="A39" s="6"/>
      <c r="B39" s="212"/>
      <c r="C39" s="15" t="s">
        <v>29</v>
      </c>
      <c r="D39" s="16">
        <v>1</v>
      </c>
      <c r="E39" s="213"/>
      <c r="F39" s="17"/>
      <c r="G39" s="17"/>
      <c r="H39" s="17"/>
      <c r="I39" s="17"/>
      <c r="J39" s="17"/>
      <c r="K39" s="17"/>
      <c r="L39" s="14" t="s">
        <v>28</v>
      </c>
      <c r="M39" s="14" t="s">
        <v>28</v>
      </c>
      <c r="N39" s="14" t="s">
        <v>28</v>
      </c>
      <c r="O39" s="14" t="s">
        <v>28</v>
      </c>
      <c r="P39" s="14"/>
      <c r="Q39" s="14" t="s">
        <v>28</v>
      </c>
      <c r="R39" s="14" t="s">
        <v>28</v>
      </c>
      <c r="S39" s="14" t="s">
        <v>28</v>
      </c>
      <c r="T39" s="14" t="s">
        <v>28</v>
      </c>
      <c r="U39" s="234"/>
    </row>
    <row r="40" spans="1:21" ht="13.5" customHeight="1" x14ac:dyDescent="0.2">
      <c r="A40" s="6"/>
      <c r="B40" s="212"/>
      <c r="C40" s="18" t="s">
        <v>32</v>
      </c>
      <c r="D40" s="23">
        <f>D39+1</f>
        <v>2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1"/>
      <c r="T40" s="21"/>
      <c r="U40" s="235"/>
    </row>
    <row r="41" spans="1:21" ht="13.5" customHeight="1" x14ac:dyDescent="0.2">
      <c r="A41" s="6"/>
      <c r="B41" s="213"/>
      <c r="C41" s="18" t="s">
        <v>33</v>
      </c>
      <c r="D41" s="23">
        <f>D40+1</f>
        <v>3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1"/>
      <c r="T41" s="21"/>
    </row>
  </sheetData>
  <mergeCells count="22">
    <mergeCell ref="U34:U40"/>
    <mergeCell ref="B34:D34"/>
    <mergeCell ref="B35:B41"/>
    <mergeCell ref="E35:E39"/>
    <mergeCell ref="B10:D10"/>
    <mergeCell ref="B11:B17"/>
    <mergeCell ref="B18:D18"/>
    <mergeCell ref="E27:E31"/>
    <mergeCell ref="E10:G10"/>
    <mergeCell ref="E18:G18"/>
    <mergeCell ref="E26:G26"/>
    <mergeCell ref="E34:G34"/>
    <mergeCell ref="B19:B25"/>
    <mergeCell ref="B27:B33"/>
    <mergeCell ref="B26:D26"/>
    <mergeCell ref="B2:D2"/>
    <mergeCell ref="B3:B9"/>
    <mergeCell ref="E2:G2"/>
    <mergeCell ref="U3:U9"/>
    <mergeCell ref="U27:U33"/>
    <mergeCell ref="U19:U25"/>
    <mergeCell ref="U11:U17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DFD6-4B5C-4289-B062-4C6EC7FAF17A}">
  <sheetPr>
    <outlinePr summaryBelow="0" summaryRight="0"/>
  </sheetPr>
  <dimension ref="A1:I1000"/>
  <sheetViews>
    <sheetView showGridLines="0" topLeftCell="D1" workbookViewId="0">
      <selection activeCell="E4" sqref="E4"/>
    </sheetView>
  </sheetViews>
  <sheetFormatPr defaultColWidth="14.390625" defaultRowHeight="15" customHeight="1" x14ac:dyDescent="0.2"/>
  <cols>
    <col min="1" max="9" width="22.734375" style="32" customWidth="1"/>
  </cols>
  <sheetData>
    <row r="1" spans="1:9" s="94" customFormat="1" ht="42.6" customHeight="1" x14ac:dyDescent="0.25">
      <c r="A1" s="93" t="s">
        <v>382</v>
      </c>
      <c r="B1" s="95" t="s">
        <v>383</v>
      </c>
      <c r="C1" s="93" t="s">
        <v>384</v>
      </c>
      <c r="D1" s="95" t="s">
        <v>385</v>
      </c>
      <c r="E1" s="95" t="s">
        <v>386</v>
      </c>
      <c r="F1" s="93" t="s">
        <v>387</v>
      </c>
      <c r="G1" s="93" t="s">
        <v>388</v>
      </c>
      <c r="H1" s="93" t="s">
        <v>389</v>
      </c>
      <c r="I1" s="93" t="s">
        <v>390</v>
      </c>
    </row>
    <row r="2" spans="1:9" ht="59.25" x14ac:dyDescent="0.2">
      <c r="A2" s="80" t="s">
        <v>391</v>
      </c>
      <c r="B2" s="81" t="s">
        <v>392</v>
      </c>
      <c r="C2" s="82" t="s">
        <v>393</v>
      </c>
      <c r="D2" s="83" t="s">
        <v>394</v>
      </c>
      <c r="E2" s="84" t="s">
        <v>395</v>
      </c>
      <c r="F2" s="85" t="s">
        <v>396</v>
      </c>
      <c r="G2" s="86" t="s">
        <v>397</v>
      </c>
      <c r="H2" s="87" t="s">
        <v>398</v>
      </c>
      <c r="I2" s="88" t="s">
        <v>30</v>
      </c>
    </row>
    <row r="3" spans="1:9" x14ac:dyDescent="0.2"/>
    <row r="4" spans="1:9" ht="59.25" x14ac:dyDescent="0.2">
      <c r="A4" s="80" t="s">
        <v>399</v>
      </c>
      <c r="B4" s="81" t="s">
        <v>400</v>
      </c>
      <c r="C4" s="82" t="s">
        <v>401</v>
      </c>
      <c r="D4" s="83" t="s">
        <v>402</v>
      </c>
      <c r="E4" s="84" t="s">
        <v>403</v>
      </c>
      <c r="F4" s="89"/>
      <c r="G4" s="90" t="s">
        <v>404</v>
      </c>
      <c r="H4" s="89"/>
      <c r="I4" s="88" t="s">
        <v>140</v>
      </c>
    </row>
    <row r="5" spans="1:9" x14ac:dyDescent="0.2">
      <c r="A5" s="89"/>
      <c r="B5" s="89"/>
      <c r="C5" s="89"/>
      <c r="D5" s="89"/>
      <c r="E5" s="89"/>
      <c r="F5" s="89"/>
      <c r="G5" s="89"/>
      <c r="H5" s="89"/>
      <c r="I5" s="89"/>
    </row>
    <row r="6" spans="1:9" ht="59.25" x14ac:dyDescent="0.2">
      <c r="A6" s="80" t="s">
        <v>405</v>
      </c>
      <c r="B6" s="81" t="s">
        <v>406</v>
      </c>
      <c r="C6" s="91" t="s">
        <v>407</v>
      </c>
      <c r="D6" s="83" t="s">
        <v>408</v>
      </c>
      <c r="E6" s="89"/>
      <c r="F6" s="89"/>
      <c r="G6" s="90" t="s">
        <v>409</v>
      </c>
      <c r="H6" s="89"/>
      <c r="I6" s="88" t="s">
        <v>249</v>
      </c>
    </row>
    <row r="7" spans="1:9" x14ac:dyDescent="0.2">
      <c r="A7" s="89"/>
      <c r="B7" s="89"/>
      <c r="C7" s="89"/>
      <c r="D7" s="89"/>
      <c r="E7" s="89"/>
      <c r="F7" s="89"/>
      <c r="G7" s="89"/>
      <c r="H7" s="89"/>
      <c r="I7" s="89"/>
    </row>
    <row r="8" spans="1:9" ht="59.25" x14ac:dyDescent="0.2">
      <c r="A8" s="89"/>
      <c r="B8" s="89"/>
      <c r="C8" s="91" t="s">
        <v>410</v>
      </c>
      <c r="D8" s="83" t="s">
        <v>411</v>
      </c>
      <c r="E8" s="89"/>
      <c r="F8" s="89"/>
      <c r="G8" s="89"/>
      <c r="H8" s="89"/>
      <c r="I8" s="88" t="s">
        <v>412</v>
      </c>
    </row>
    <row r="9" spans="1:9" x14ac:dyDescent="0.2">
      <c r="A9" s="89"/>
      <c r="B9" s="89"/>
      <c r="C9" s="89"/>
      <c r="D9" s="89"/>
      <c r="E9" s="89"/>
      <c r="F9" s="89"/>
      <c r="G9" s="89"/>
      <c r="H9" s="89"/>
      <c r="I9" s="89"/>
    </row>
    <row r="10" spans="1:9" ht="45" x14ac:dyDescent="0.2">
      <c r="A10" s="89"/>
      <c r="B10" s="89"/>
      <c r="C10" s="89"/>
      <c r="D10" s="83" t="s">
        <v>413</v>
      </c>
      <c r="E10" s="89"/>
      <c r="F10" s="89"/>
      <c r="G10" s="89"/>
      <c r="H10" s="89"/>
      <c r="I10" s="92" t="s">
        <v>414</v>
      </c>
    </row>
    <row r="11" spans="1:9" x14ac:dyDescent="0.2"/>
    <row r="12" spans="1:9" x14ac:dyDescent="0.2"/>
    <row r="13" spans="1:9" x14ac:dyDescent="0.2"/>
    <row r="14" spans="1:9" x14ac:dyDescent="0.2"/>
    <row r="15" spans="1:9" x14ac:dyDescent="0.2"/>
    <row r="16" spans="1:9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" right="0" top="0" bottom="0" header="0" footer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03E-FA5A-4C96-B16B-13B78026BC3B}">
  <dimension ref="A1:M70"/>
  <sheetViews>
    <sheetView showGridLines="0" workbookViewId="0">
      <pane xSplit="1" topLeftCell="B1" activePane="topRight" state="frozen"/>
      <selection pane="topRight" activeCell="L35" sqref="L35"/>
    </sheetView>
  </sheetViews>
  <sheetFormatPr defaultColWidth="14.390625" defaultRowHeight="15" customHeight="1" x14ac:dyDescent="0.2"/>
  <cols>
    <col min="1" max="1" width="2.82421875" customWidth="1"/>
    <col min="2" max="7" width="17.21875" customWidth="1"/>
    <col min="8" max="8" width="0.53515625" customWidth="1"/>
    <col min="9" max="13" width="17.21875" customWidth="1"/>
  </cols>
  <sheetData>
    <row r="1" spans="1:13" ht="22.5" customHeight="1" x14ac:dyDescent="0.2">
      <c r="A1" s="36"/>
      <c r="B1" s="304">
        <v>2021</v>
      </c>
      <c r="C1" s="73" t="s">
        <v>415</v>
      </c>
      <c r="D1" s="73" t="s">
        <v>416</v>
      </c>
      <c r="E1" s="73" t="s">
        <v>417</v>
      </c>
      <c r="F1" s="75">
        <v>45420</v>
      </c>
      <c r="G1" s="73" t="s">
        <v>418</v>
      </c>
      <c r="H1" s="76"/>
      <c r="I1" s="75">
        <v>45487</v>
      </c>
      <c r="J1" s="75">
        <v>45519</v>
      </c>
      <c r="K1" s="73" t="s">
        <v>419</v>
      </c>
      <c r="L1" s="74">
        <v>45607</v>
      </c>
      <c r="M1" s="73" t="s">
        <v>420</v>
      </c>
    </row>
    <row r="2" spans="1:13" ht="15" customHeight="1" x14ac:dyDescent="0.2">
      <c r="B2" s="238"/>
      <c r="C2" s="39" t="s">
        <v>12</v>
      </c>
      <c r="D2" s="39" t="s">
        <v>60</v>
      </c>
      <c r="E2" s="39" t="s">
        <v>11</v>
      </c>
      <c r="F2" s="51" t="s">
        <v>421</v>
      </c>
      <c r="G2" s="39" t="s">
        <v>60</v>
      </c>
      <c r="H2" s="39"/>
      <c r="I2" s="39" t="s">
        <v>11</v>
      </c>
      <c r="J2" s="51" t="s">
        <v>422</v>
      </c>
      <c r="K2" s="39" t="s">
        <v>22</v>
      </c>
      <c r="L2" s="39" t="s">
        <v>11</v>
      </c>
      <c r="M2" s="39" t="s">
        <v>22</v>
      </c>
    </row>
    <row r="3" spans="1:13" ht="22.5" customHeight="1" x14ac:dyDescent="0.2">
      <c r="A3" s="36"/>
      <c r="B3" s="72"/>
      <c r="C3" s="60"/>
      <c r="D3" s="66"/>
      <c r="E3" s="66"/>
      <c r="F3" s="66"/>
      <c r="G3" s="60"/>
      <c r="H3" s="33"/>
      <c r="I3" s="66"/>
      <c r="J3" s="66"/>
      <c r="K3" s="60"/>
      <c r="L3" s="60"/>
      <c r="M3" s="60"/>
    </row>
    <row r="4" spans="1:13" ht="22.5" customHeight="1" x14ac:dyDescent="0.2">
      <c r="A4" s="36"/>
      <c r="B4" s="305">
        <v>2022</v>
      </c>
      <c r="C4" s="68" t="s">
        <v>415</v>
      </c>
      <c r="D4" s="68" t="s">
        <v>416</v>
      </c>
      <c r="E4" s="68" t="s">
        <v>417</v>
      </c>
      <c r="F4" s="70">
        <v>45420</v>
      </c>
      <c r="G4" s="68" t="s">
        <v>418</v>
      </c>
      <c r="H4" s="71"/>
      <c r="I4" s="70">
        <v>45487</v>
      </c>
      <c r="J4" s="70">
        <v>45519</v>
      </c>
      <c r="K4" s="68" t="s">
        <v>419</v>
      </c>
      <c r="L4" s="69">
        <v>45607</v>
      </c>
      <c r="M4" s="68" t="s">
        <v>420</v>
      </c>
    </row>
    <row r="5" spans="1:13" ht="15" customHeight="1" x14ac:dyDescent="0.2">
      <c r="B5" s="238"/>
      <c r="C5" s="39" t="s">
        <v>11</v>
      </c>
      <c r="D5" s="39" t="s">
        <v>22</v>
      </c>
      <c r="E5" s="39" t="s">
        <v>60</v>
      </c>
      <c r="F5" s="51" t="s">
        <v>422</v>
      </c>
      <c r="G5" s="39" t="s">
        <v>11</v>
      </c>
      <c r="H5" s="39"/>
      <c r="I5" s="39" t="s">
        <v>60</v>
      </c>
      <c r="J5" s="39" t="s">
        <v>22</v>
      </c>
      <c r="K5" s="39" t="s">
        <v>22</v>
      </c>
      <c r="L5" s="39" t="s">
        <v>60</v>
      </c>
      <c r="M5" s="39" t="s">
        <v>11</v>
      </c>
    </row>
    <row r="6" spans="1:13" ht="22.5" customHeight="1" x14ac:dyDescent="0.2">
      <c r="A6" s="36"/>
      <c r="B6" s="67"/>
      <c r="C6" s="60"/>
      <c r="D6" s="66"/>
      <c r="E6" s="66"/>
      <c r="F6" s="66"/>
      <c r="G6" s="60"/>
      <c r="H6" s="33"/>
      <c r="I6" s="66"/>
      <c r="J6" s="66"/>
      <c r="K6" s="60"/>
      <c r="L6" s="60"/>
      <c r="M6" s="60"/>
    </row>
    <row r="7" spans="1:13" ht="22.5" customHeight="1" x14ac:dyDescent="0.2">
      <c r="A7" s="36"/>
      <c r="B7" s="306">
        <v>2023</v>
      </c>
      <c r="C7" s="62" t="s">
        <v>415</v>
      </c>
      <c r="D7" s="62" t="s">
        <v>416</v>
      </c>
      <c r="E7" s="62" t="s">
        <v>417</v>
      </c>
      <c r="F7" s="64">
        <v>45420</v>
      </c>
      <c r="G7" s="62" t="s">
        <v>418</v>
      </c>
      <c r="H7" s="65"/>
      <c r="I7" s="64">
        <v>45487</v>
      </c>
      <c r="J7" s="64">
        <v>45519</v>
      </c>
      <c r="K7" s="62" t="s">
        <v>419</v>
      </c>
      <c r="L7" s="63">
        <v>45607</v>
      </c>
      <c r="M7" s="62" t="s">
        <v>420</v>
      </c>
    </row>
    <row r="8" spans="1:13" ht="22.5" customHeight="1" x14ac:dyDescent="0.2">
      <c r="A8" s="36"/>
      <c r="B8" s="238"/>
      <c r="C8" s="39" t="s">
        <v>22</v>
      </c>
      <c r="D8" s="39" t="s">
        <v>60</v>
      </c>
      <c r="E8" s="39" t="s">
        <v>11</v>
      </c>
      <c r="F8" s="39" t="s">
        <v>60</v>
      </c>
      <c r="G8" s="39" t="s">
        <v>60</v>
      </c>
      <c r="H8" s="39"/>
      <c r="I8" s="39" t="s">
        <v>11</v>
      </c>
      <c r="J8" s="39" t="s">
        <v>11</v>
      </c>
      <c r="K8" s="39" t="s">
        <v>12</v>
      </c>
      <c r="L8" s="51" t="s">
        <v>421</v>
      </c>
      <c r="M8" s="39" t="s">
        <v>12</v>
      </c>
    </row>
    <row r="9" spans="1:13" ht="30.75" customHeight="1" x14ac:dyDescent="0.2">
      <c r="A9" s="36"/>
      <c r="B9" s="61"/>
      <c r="C9" s="33"/>
      <c r="D9" s="33"/>
      <c r="E9" s="33"/>
      <c r="F9" s="33"/>
      <c r="G9" s="33"/>
      <c r="H9" s="33"/>
      <c r="I9" s="33"/>
      <c r="J9" s="33"/>
      <c r="K9" s="60"/>
      <c r="L9" s="60"/>
      <c r="M9" s="60"/>
    </row>
    <row r="10" spans="1:13" ht="22.5" customHeight="1" x14ac:dyDescent="0.2">
      <c r="A10" s="36"/>
      <c r="B10" s="307">
        <v>2024</v>
      </c>
      <c r="C10" s="56" t="s">
        <v>415</v>
      </c>
      <c r="D10" s="56" t="s">
        <v>416</v>
      </c>
      <c r="E10" s="56" t="s">
        <v>417</v>
      </c>
      <c r="F10" s="58">
        <v>45420</v>
      </c>
      <c r="G10" s="56" t="s">
        <v>418</v>
      </c>
      <c r="H10" s="59"/>
      <c r="I10" s="58">
        <v>45487</v>
      </c>
      <c r="J10" s="58">
        <v>45519</v>
      </c>
      <c r="K10" s="56" t="s">
        <v>419</v>
      </c>
      <c r="L10" s="57">
        <v>45607</v>
      </c>
      <c r="M10" s="56" t="s">
        <v>420</v>
      </c>
    </row>
    <row r="11" spans="1:13" ht="22.5" customHeight="1" x14ac:dyDescent="0.2">
      <c r="A11" s="36"/>
      <c r="B11" s="238"/>
      <c r="C11" s="39" t="s">
        <v>11</v>
      </c>
      <c r="D11" s="39" t="s">
        <v>423</v>
      </c>
      <c r="E11" s="39" t="s">
        <v>11</v>
      </c>
      <c r="F11" s="39" t="s">
        <v>78</v>
      </c>
      <c r="G11" s="39" t="s">
        <v>22</v>
      </c>
      <c r="H11" s="39"/>
      <c r="I11" s="39" t="s">
        <v>11</v>
      </c>
      <c r="J11" s="39" t="s">
        <v>11</v>
      </c>
      <c r="K11" s="39" t="s">
        <v>78</v>
      </c>
      <c r="L11" s="46" t="s">
        <v>424</v>
      </c>
      <c r="M11" s="39" t="s">
        <v>60</v>
      </c>
    </row>
    <row r="12" spans="1:13" ht="15" customHeight="1" x14ac:dyDescent="0.2">
      <c r="A12" s="36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spans="1:13" ht="15" customHeight="1" x14ac:dyDescent="0.2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14" spans="1:13" ht="22.5" customHeight="1" x14ac:dyDescent="0.2">
      <c r="A14" s="36"/>
      <c r="B14" s="308">
        <v>2025</v>
      </c>
      <c r="C14" s="52" t="s">
        <v>415</v>
      </c>
      <c r="D14" s="52" t="s">
        <v>425</v>
      </c>
      <c r="E14" s="52" t="s">
        <v>417</v>
      </c>
      <c r="F14" s="54">
        <v>45420</v>
      </c>
      <c r="G14" s="52" t="s">
        <v>418</v>
      </c>
      <c r="H14" s="55"/>
      <c r="I14" s="54">
        <v>45487</v>
      </c>
      <c r="J14" s="54">
        <v>45519</v>
      </c>
      <c r="K14" s="52" t="s">
        <v>419</v>
      </c>
      <c r="L14" s="53">
        <v>45607</v>
      </c>
      <c r="M14" s="52" t="s">
        <v>420</v>
      </c>
    </row>
    <row r="15" spans="1:13" ht="22.5" customHeight="1" x14ac:dyDescent="0.2">
      <c r="A15" s="36"/>
      <c r="B15" s="238"/>
      <c r="C15" s="39" t="s">
        <v>12</v>
      </c>
      <c r="D15" s="39" t="s">
        <v>60</v>
      </c>
      <c r="E15" s="39" t="s">
        <v>11</v>
      </c>
      <c r="F15" s="39" t="s">
        <v>12</v>
      </c>
      <c r="G15" s="51" t="s">
        <v>421</v>
      </c>
      <c r="H15" s="39"/>
      <c r="I15" s="39" t="s">
        <v>60</v>
      </c>
      <c r="J15" s="39" t="s">
        <v>12</v>
      </c>
      <c r="K15" s="39" t="s">
        <v>78</v>
      </c>
      <c r="L15" s="46" t="s">
        <v>13</v>
      </c>
      <c r="M15" s="39" t="s">
        <v>22</v>
      </c>
    </row>
    <row r="16" spans="1:13" ht="22.5" customHeight="1" x14ac:dyDescent="0.2">
      <c r="A16" s="36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spans="1:13" ht="22.5" customHeight="1" x14ac:dyDescent="0.2">
      <c r="A17" s="36"/>
      <c r="B17" s="293">
        <v>2026</v>
      </c>
      <c r="C17" s="47" t="s">
        <v>415</v>
      </c>
      <c r="D17" s="47" t="s">
        <v>425</v>
      </c>
      <c r="E17" s="47" t="s">
        <v>417</v>
      </c>
      <c r="F17" s="49">
        <v>45420</v>
      </c>
      <c r="G17" s="47" t="s">
        <v>418</v>
      </c>
      <c r="H17" s="50"/>
      <c r="I17" s="49">
        <v>45487</v>
      </c>
      <c r="J17" s="49">
        <v>45519</v>
      </c>
      <c r="K17" s="47" t="s">
        <v>419</v>
      </c>
      <c r="L17" s="48">
        <v>45607</v>
      </c>
      <c r="M17" s="47" t="s">
        <v>420</v>
      </c>
    </row>
    <row r="18" spans="1:13" ht="22.5" customHeight="1" x14ac:dyDescent="0.2">
      <c r="A18" s="36"/>
      <c r="B18" s="294"/>
      <c r="C18" s="39" t="s">
        <v>22</v>
      </c>
      <c r="D18" s="39"/>
      <c r="E18" s="39"/>
      <c r="F18" s="39"/>
      <c r="G18" s="39"/>
      <c r="H18" s="39"/>
      <c r="I18" s="39"/>
      <c r="J18" s="39"/>
      <c r="K18" s="39"/>
      <c r="L18" s="46"/>
      <c r="M18" s="39"/>
    </row>
    <row r="19" spans="1:13" ht="22.5" customHeight="1" x14ac:dyDescent="0.2">
      <c r="A19" s="36"/>
      <c r="B19" s="38"/>
      <c r="C19" s="38"/>
      <c r="D19" s="38"/>
      <c r="E19" s="38"/>
      <c r="F19" s="38"/>
      <c r="G19" s="38"/>
      <c r="H19" s="38"/>
      <c r="I19" s="38"/>
      <c r="J19" s="38"/>
      <c r="L19" s="38"/>
      <c r="M19" s="38"/>
    </row>
    <row r="20" spans="1:13" ht="22.5" customHeight="1" x14ac:dyDescent="0.2">
      <c r="A20" s="36"/>
      <c r="B20" s="33"/>
      <c r="C20" s="33"/>
      <c r="D20" s="45"/>
      <c r="E20" s="45"/>
      <c r="F20" s="45"/>
      <c r="G20" s="33"/>
      <c r="H20" s="33"/>
      <c r="I20" s="33"/>
      <c r="J20" s="33"/>
      <c r="K20" s="152"/>
      <c r="L20" s="33"/>
      <c r="M20" s="295"/>
    </row>
    <row r="21" spans="1:13" ht="22.5" customHeight="1" x14ac:dyDescent="0.2">
      <c r="A21" s="36"/>
      <c r="B21" s="297"/>
      <c r="C21" s="44" t="s">
        <v>426</v>
      </c>
      <c r="D21" s="299">
        <v>2024</v>
      </c>
      <c r="E21" s="300"/>
      <c r="F21" s="301">
        <v>2025</v>
      </c>
      <c r="G21" s="300"/>
      <c r="H21" s="33"/>
      <c r="I21" s="302">
        <v>2026</v>
      </c>
      <c r="J21" s="303"/>
      <c r="K21" s="303"/>
      <c r="L21" s="33"/>
      <c r="M21" s="296"/>
    </row>
    <row r="22" spans="1:13" ht="30" customHeight="1" x14ac:dyDescent="0.2">
      <c r="A22" s="36"/>
      <c r="B22" s="298"/>
      <c r="C22" s="43" t="s">
        <v>427</v>
      </c>
      <c r="D22" s="42" t="s">
        <v>428</v>
      </c>
      <c r="E22" s="42" t="s">
        <v>429</v>
      </c>
      <c r="F22" s="41" t="s">
        <v>430</v>
      </c>
      <c r="G22" s="41" t="s">
        <v>431</v>
      </c>
      <c r="H22" s="33"/>
      <c r="I22" s="151" t="s">
        <v>430</v>
      </c>
      <c r="J22" s="151" t="s">
        <v>432</v>
      </c>
      <c r="K22" s="151" t="s">
        <v>431</v>
      </c>
      <c r="L22" s="33"/>
      <c r="M22" s="296"/>
    </row>
    <row r="23" spans="1:13" ht="19.899999999999999" customHeight="1" x14ac:dyDescent="0.2">
      <c r="A23" s="36"/>
      <c r="B23" s="39" t="s">
        <v>12</v>
      </c>
      <c r="C23" s="39">
        <v>3</v>
      </c>
      <c r="D23" s="39">
        <f>C23+1</f>
        <v>4</v>
      </c>
      <c r="E23" s="39">
        <v>12</v>
      </c>
      <c r="F23" s="39">
        <v>7</v>
      </c>
      <c r="G23" s="39">
        <v>22</v>
      </c>
      <c r="H23" s="33"/>
      <c r="I23" s="39"/>
      <c r="J23" s="39">
        <v>3</v>
      </c>
      <c r="K23" s="39">
        <f>J23+G23</f>
        <v>25</v>
      </c>
      <c r="L23" s="33"/>
      <c r="M23" s="33"/>
    </row>
    <row r="24" spans="1:13" ht="19.899999999999999" customHeight="1" x14ac:dyDescent="0.2">
      <c r="A24" s="36"/>
      <c r="B24" s="39" t="s">
        <v>60</v>
      </c>
      <c r="C24" s="39">
        <v>9</v>
      </c>
      <c r="D24" s="39">
        <f>C24+1</f>
        <v>10</v>
      </c>
      <c r="E24" s="39">
        <v>11</v>
      </c>
      <c r="F24" s="39">
        <v>13</v>
      </c>
      <c r="G24" s="39">
        <v>22</v>
      </c>
      <c r="H24" s="33"/>
      <c r="I24" s="39"/>
      <c r="J24" s="39">
        <v>3</v>
      </c>
      <c r="K24" s="39">
        <f t="shared" ref="K24:K30" si="0">J24+G24</f>
        <v>25</v>
      </c>
      <c r="L24" s="33"/>
      <c r="M24" s="33"/>
    </row>
    <row r="25" spans="1:13" ht="19.899999999999999" customHeight="1" x14ac:dyDescent="0.2">
      <c r="A25" s="36"/>
      <c r="B25" s="40" t="s">
        <v>11</v>
      </c>
      <c r="C25" s="40">
        <v>9</v>
      </c>
      <c r="D25" s="40">
        <v>12</v>
      </c>
      <c r="E25" s="40">
        <v>11</v>
      </c>
      <c r="F25" s="40">
        <v>13</v>
      </c>
      <c r="G25" s="40">
        <v>20</v>
      </c>
      <c r="H25" s="33"/>
      <c r="I25" s="40"/>
      <c r="J25" s="40">
        <v>2</v>
      </c>
      <c r="K25" s="39">
        <f t="shared" si="0"/>
        <v>22</v>
      </c>
      <c r="L25" s="33"/>
      <c r="M25" s="33"/>
    </row>
    <row r="26" spans="1:13" ht="19.899999999999999" customHeight="1" x14ac:dyDescent="0.2">
      <c r="A26" s="36"/>
      <c r="B26" s="153" t="s">
        <v>22</v>
      </c>
      <c r="C26" s="153">
        <v>5</v>
      </c>
      <c r="D26" s="153">
        <f>C26+3</f>
        <v>8</v>
      </c>
      <c r="E26" s="153">
        <v>9</v>
      </c>
      <c r="F26" s="153">
        <v>9</v>
      </c>
      <c r="G26" s="153">
        <v>12</v>
      </c>
      <c r="H26" s="154"/>
      <c r="I26" s="153">
        <v>1</v>
      </c>
      <c r="J26" s="153">
        <v>1</v>
      </c>
      <c r="K26" s="153">
        <f t="shared" si="0"/>
        <v>13</v>
      </c>
      <c r="L26" s="33" t="s">
        <v>433</v>
      </c>
      <c r="M26" s="33"/>
    </row>
    <row r="27" spans="1:13" ht="19.899999999999999" customHeight="1" x14ac:dyDescent="0.2">
      <c r="A27" s="36"/>
      <c r="B27" s="39" t="s">
        <v>78</v>
      </c>
      <c r="C27" s="39">
        <v>0</v>
      </c>
      <c r="D27" s="39">
        <v>2</v>
      </c>
      <c r="E27" s="39">
        <v>9</v>
      </c>
      <c r="F27" s="39">
        <v>10</v>
      </c>
      <c r="G27" s="39">
        <v>22</v>
      </c>
      <c r="H27" s="34"/>
      <c r="I27" s="39"/>
      <c r="J27" s="39">
        <v>3</v>
      </c>
      <c r="K27" s="39">
        <f t="shared" si="0"/>
        <v>25</v>
      </c>
      <c r="L27" s="37"/>
      <c r="M27" s="37"/>
    </row>
    <row r="28" spans="1:13" ht="19.899999999999999" customHeight="1" x14ac:dyDescent="0.2">
      <c r="A28" s="36"/>
      <c r="B28" s="39" t="s">
        <v>13</v>
      </c>
      <c r="C28" s="39">
        <v>0</v>
      </c>
      <c r="D28" s="39">
        <v>0</v>
      </c>
      <c r="E28" s="39">
        <v>0</v>
      </c>
      <c r="F28" s="39">
        <v>1</v>
      </c>
      <c r="G28" s="39">
        <v>7</v>
      </c>
      <c r="H28" s="33"/>
      <c r="I28" s="39"/>
      <c r="J28" s="39">
        <v>2</v>
      </c>
      <c r="K28" s="39">
        <f t="shared" si="0"/>
        <v>9</v>
      </c>
      <c r="L28" s="33"/>
      <c r="M28" s="33"/>
    </row>
    <row r="29" spans="1:13" ht="19.899999999999999" customHeight="1" x14ac:dyDescent="0.2">
      <c r="A29" s="36"/>
      <c r="B29" s="39" t="s">
        <v>156</v>
      </c>
      <c r="C29" s="39"/>
      <c r="D29" s="39"/>
      <c r="E29" s="39"/>
      <c r="F29" s="39"/>
      <c r="G29" s="39"/>
      <c r="H29" s="33"/>
      <c r="I29" s="39"/>
      <c r="J29" s="39">
        <v>2</v>
      </c>
      <c r="K29" s="39">
        <f t="shared" si="0"/>
        <v>2</v>
      </c>
      <c r="L29" s="33"/>
      <c r="M29" s="33"/>
    </row>
    <row r="30" spans="1:13" ht="19.899999999999999" customHeight="1" x14ac:dyDescent="0.2">
      <c r="A30" s="36"/>
      <c r="B30" s="39" t="s">
        <v>129</v>
      </c>
      <c r="C30" s="39"/>
      <c r="D30" s="39"/>
      <c r="E30" s="39"/>
      <c r="F30" s="39"/>
      <c r="G30" s="39"/>
      <c r="H30" s="33"/>
      <c r="I30" s="39"/>
      <c r="J30" s="39">
        <v>2</v>
      </c>
      <c r="K30" s="39">
        <f t="shared" si="0"/>
        <v>2</v>
      </c>
      <c r="L30" s="33"/>
      <c r="M30" s="33"/>
    </row>
    <row r="31" spans="1:13" ht="22.5" customHeight="1" x14ac:dyDescent="0.2">
      <c r="A31" s="36"/>
      <c r="B31" s="38"/>
      <c r="C31" s="38"/>
      <c r="D31" s="38"/>
      <c r="E31" s="38"/>
      <c r="F31" s="38"/>
      <c r="G31" s="38"/>
      <c r="H31" s="33"/>
      <c r="I31" s="37"/>
      <c r="J31" s="37" t="s">
        <v>434</v>
      </c>
      <c r="K31" s="33"/>
      <c r="L31" s="33"/>
      <c r="M31" s="33"/>
    </row>
    <row r="32" spans="1:13" ht="22.5" customHeight="1" x14ac:dyDescent="0.2">
      <c r="A32" s="36"/>
      <c r="B32" s="38"/>
      <c r="C32" s="38"/>
      <c r="D32" s="38"/>
      <c r="E32" s="38"/>
      <c r="F32" s="38"/>
      <c r="G32" s="38"/>
      <c r="H32" s="33"/>
      <c r="I32" s="33"/>
      <c r="J32" s="33"/>
      <c r="K32" s="37"/>
      <c r="L32" s="33"/>
      <c r="M32" s="33"/>
    </row>
    <row r="33" spans="1:13" ht="22.5" customHeight="1" x14ac:dyDescent="0.2">
      <c r="A33" s="36"/>
      <c r="B33" s="38"/>
      <c r="C33" s="38"/>
      <c r="D33" s="38"/>
      <c r="E33" s="38"/>
      <c r="F33" s="38"/>
      <c r="G33" s="38"/>
      <c r="H33" s="33"/>
      <c r="I33" s="37"/>
      <c r="J33" s="37"/>
      <c r="K33" s="33"/>
      <c r="L33" s="33"/>
      <c r="M33" s="33"/>
    </row>
    <row r="34" spans="1:13" ht="22.5" customHeight="1" x14ac:dyDescent="0.2">
      <c r="A34" s="36"/>
      <c r="B34" s="33"/>
      <c r="C34" s="33"/>
      <c r="D34" s="33"/>
      <c r="E34" s="33"/>
      <c r="F34" s="33"/>
      <c r="G34" s="33"/>
      <c r="H34" s="33"/>
      <c r="I34" s="33"/>
      <c r="J34" s="33"/>
      <c r="K34" s="37"/>
      <c r="L34" s="33"/>
      <c r="M34" s="33"/>
    </row>
    <row r="35" spans="1:13" ht="22.5" customHeight="1" x14ac:dyDescent="0.2">
      <c r="A35" s="36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6" spans="1:13" ht="22.5" customHeight="1" x14ac:dyDescent="0.2">
      <c r="A36" s="3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spans="1:13" ht="15" customHeight="1" x14ac:dyDescent="0.2">
      <c r="A37" s="36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1:13" ht="15" customHeight="1" x14ac:dyDescent="0.2">
      <c r="A38" s="36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spans="1:13" ht="15" customHeight="1" x14ac:dyDescent="0.2">
      <c r="A39" s="36"/>
      <c r="B39" s="310"/>
      <c r="C39" s="296"/>
      <c r="D39" s="33"/>
      <c r="E39" s="33"/>
      <c r="F39" s="34"/>
      <c r="G39" s="33"/>
      <c r="H39" s="34"/>
      <c r="I39" s="37"/>
      <c r="J39" s="37"/>
      <c r="K39" s="33"/>
      <c r="L39" s="37"/>
      <c r="M39" s="37"/>
    </row>
    <row r="40" spans="1:13" ht="22.5" customHeight="1" x14ac:dyDescent="0.2">
      <c r="A40" s="36"/>
      <c r="B40" s="310"/>
      <c r="C40" s="296"/>
      <c r="D40" s="33"/>
      <c r="E40" s="33"/>
      <c r="F40" s="34"/>
      <c r="G40" s="33"/>
      <c r="H40" s="33"/>
      <c r="I40" s="33"/>
      <c r="J40" s="33"/>
      <c r="K40" s="37"/>
      <c r="L40" s="35"/>
      <c r="M40" s="309"/>
    </row>
    <row r="41" spans="1:13" ht="22.5" customHeight="1" x14ac:dyDescent="0.2">
      <c r="B41" s="310"/>
      <c r="C41" s="296"/>
      <c r="D41" s="33"/>
      <c r="E41" s="33"/>
      <c r="F41" s="34"/>
      <c r="G41" s="33"/>
      <c r="H41" s="33"/>
      <c r="I41" s="33"/>
      <c r="J41" s="33"/>
      <c r="K41" s="33"/>
      <c r="L41" s="35"/>
      <c r="M41" s="296"/>
    </row>
    <row r="42" spans="1:13" ht="22.5" customHeight="1" x14ac:dyDescent="0.2">
      <c r="B42" s="310"/>
      <c r="C42" s="296"/>
      <c r="D42" s="33"/>
      <c r="E42" s="33"/>
      <c r="F42" s="34"/>
      <c r="G42" s="33"/>
      <c r="H42" s="33"/>
      <c r="I42" s="33"/>
      <c r="J42" s="33"/>
      <c r="K42" s="33"/>
      <c r="L42" s="35"/>
      <c r="M42" s="296"/>
    </row>
    <row r="43" spans="1:13" ht="22.5" customHeight="1" x14ac:dyDescent="0.2">
      <c r="B43" s="310"/>
      <c r="C43" s="296"/>
      <c r="D43" s="33"/>
      <c r="E43" s="33"/>
      <c r="F43" s="34"/>
      <c r="G43" s="33"/>
      <c r="H43" s="33"/>
      <c r="I43" s="33"/>
      <c r="J43" s="33"/>
      <c r="K43" s="33"/>
      <c r="L43" s="35"/>
      <c r="M43" s="296"/>
    </row>
    <row r="44" spans="1:13" ht="22.5" customHeight="1" x14ac:dyDescent="0.2">
      <c r="B44" s="310"/>
      <c r="C44" s="296"/>
      <c r="D44" s="33"/>
      <c r="E44" s="33"/>
      <c r="F44" s="34"/>
      <c r="G44" s="33"/>
      <c r="H44" s="33"/>
      <c r="I44" s="33"/>
      <c r="J44" s="33"/>
      <c r="K44" s="33"/>
      <c r="L44" s="35"/>
      <c r="M44" s="296"/>
    </row>
    <row r="45" spans="1:13" ht="15" customHeight="1" x14ac:dyDescent="0.2">
      <c r="B45" s="310"/>
      <c r="C45" s="296"/>
      <c r="D45" s="33"/>
      <c r="E45" s="33"/>
      <c r="F45" s="34"/>
      <c r="G45" s="33"/>
      <c r="H45" s="33"/>
      <c r="I45" s="33"/>
      <c r="J45" s="33"/>
      <c r="K45" s="33"/>
      <c r="L45" s="33"/>
      <c r="M45" s="33"/>
    </row>
    <row r="46" spans="1:13" ht="15" customHeight="1" x14ac:dyDescent="0.2">
      <c r="B46" s="310"/>
      <c r="C46" s="296"/>
      <c r="D46" s="33"/>
      <c r="E46" s="33"/>
      <c r="F46" s="34"/>
      <c r="G46" s="33"/>
      <c r="H46" s="33"/>
      <c r="I46" s="33"/>
      <c r="J46" s="33"/>
      <c r="K46" s="33"/>
      <c r="L46" s="33"/>
      <c r="M46" s="33"/>
    </row>
    <row r="47" spans="1:13" ht="15" customHeight="1" x14ac:dyDescent="0.2">
      <c r="B47" s="310"/>
      <c r="C47" s="296"/>
      <c r="D47" s="33"/>
      <c r="E47" s="33"/>
      <c r="F47" s="34"/>
      <c r="G47" s="33"/>
      <c r="K47" s="33"/>
    </row>
    <row r="48" spans="1:13" ht="15" customHeight="1" x14ac:dyDescent="0.2">
      <c r="B48" s="310"/>
      <c r="C48" s="296"/>
      <c r="D48" s="33"/>
      <c r="E48" s="33"/>
      <c r="F48" s="34"/>
      <c r="G48" s="33"/>
    </row>
    <row r="49" spans="2:7" ht="15" customHeight="1" x14ac:dyDescent="0.2">
      <c r="B49" s="310"/>
      <c r="C49" s="296"/>
      <c r="D49" s="33"/>
      <c r="E49" s="33"/>
      <c r="F49" s="34"/>
      <c r="G49" s="33"/>
    </row>
    <row r="50" spans="2:7" ht="15" customHeight="1" x14ac:dyDescent="0.2">
      <c r="B50" s="310"/>
      <c r="C50" s="296"/>
      <c r="D50" s="33"/>
      <c r="E50" s="33"/>
      <c r="F50" s="34"/>
      <c r="G50" s="33"/>
    </row>
    <row r="51" spans="2:7" ht="15" customHeight="1" x14ac:dyDescent="0.2">
      <c r="B51" s="310"/>
      <c r="C51" s="296"/>
      <c r="D51" s="33"/>
      <c r="E51" s="33"/>
      <c r="F51" s="34"/>
      <c r="G51" s="33"/>
    </row>
    <row r="52" spans="2:7" ht="15" customHeight="1" x14ac:dyDescent="0.2">
      <c r="B52" s="310"/>
      <c r="C52" s="296"/>
      <c r="D52" s="33"/>
      <c r="E52" s="33"/>
      <c r="F52" s="34"/>
      <c r="G52" s="33"/>
    </row>
    <row r="53" spans="2:7" ht="15" customHeight="1" x14ac:dyDescent="0.2">
      <c r="B53" s="310"/>
      <c r="C53" s="296"/>
      <c r="D53" s="33"/>
      <c r="E53" s="33"/>
      <c r="F53" s="34"/>
      <c r="G53" s="33"/>
    </row>
    <row r="54" spans="2:7" ht="15" customHeight="1" x14ac:dyDescent="0.2">
      <c r="B54" s="310"/>
      <c r="C54" s="296"/>
      <c r="D54" s="33"/>
      <c r="E54" s="33"/>
      <c r="F54" s="34"/>
      <c r="G54" s="33"/>
    </row>
    <row r="55" spans="2:7" ht="15" customHeight="1" x14ac:dyDescent="0.2">
      <c r="B55" s="310"/>
      <c r="C55" s="296"/>
      <c r="D55" s="33"/>
      <c r="E55" s="33"/>
      <c r="F55" s="34"/>
      <c r="G55" s="33"/>
    </row>
    <row r="56" spans="2:7" ht="15" customHeight="1" x14ac:dyDescent="0.2">
      <c r="B56" s="310"/>
      <c r="C56" s="296"/>
      <c r="D56" s="33"/>
      <c r="E56" s="33"/>
      <c r="F56" s="34"/>
      <c r="G56" s="33"/>
    </row>
    <row r="57" spans="2:7" ht="15" customHeight="1" x14ac:dyDescent="0.2">
      <c r="B57" s="310"/>
      <c r="C57" s="296"/>
      <c r="D57" s="33"/>
      <c r="E57" s="33"/>
      <c r="F57" s="34"/>
      <c r="G57" s="33"/>
    </row>
    <row r="58" spans="2:7" ht="15" customHeight="1" x14ac:dyDescent="0.2">
      <c r="B58" s="310"/>
      <c r="C58" s="296"/>
      <c r="D58" s="33"/>
      <c r="E58" s="33"/>
      <c r="F58" s="34"/>
      <c r="G58" s="33"/>
    </row>
    <row r="59" spans="2:7" ht="15" customHeight="1" x14ac:dyDescent="0.2">
      <c r="B59" s="310"/>
      <c r="C59" s="296"/>
      <c r="D59" s="33"/>
      <c r="E59" s="33"/>
      <c r="F59" s="34"/>
      <c r="G59" s="33"/>
    </row>
    <row r="60" spans="2:7" ht="15" customHeight="1" x14ac:dyDescent="0.2">
      <c r="B60" s="310"/>
      <c r="C60" s="296"/>
      <c r="D60" s="33"/>
      <c r="E60" s="33"/>
      <c r="F60" s="34"/>
      <c r="G60" s="33"/>
    </row>
    <row r="61" spans="2:7" ht="15" customHeight="1" x14ac:dyDescent="0.2">
      <c r="B61" s="310"/>
      <c r="C61" s="296"/>
      <c r="D61" s="33"/>
      <c r="E61" s="33"/>
      <c r="F61" s="34"/>
      <c r="G61" s="33"/>
    </row>
    <row r="62" spans="2:7" ht="15" customHeight="1" x14ac:dyDescent="0.2">
      <c r="B62" s="310"/>
      <c r="C62" s="296"/>
      <c r="D62" s="33"/>
      <c r="E62" s="33"/>
      <c r="F62" s="34"/>
      <c r="G62" s="33"/>
    </row>
    <row r="63" spans="2:7" ht="15" customHeight="1" x14ac:dyDescent="0.2">
      <c r="B63" s="310"/>
      <c r="C63" s="296"/>
      <c r="D63" s="33"/>
      <c r="E63" s="33"/>
      <c r="F63" s="34"/>
      <c r="G63" s="33"/>
    </row>
    <row r="64" spans="2:7" ht="15" customHeight="1" x14ac:dyDescent="0.2">
      <c r="B64" s="310"/>
      <c r="C64" s="296"/>
      <c r="D64" s="33"/>
      <c r="E64" s="33"/>
      <c r="F64" s="34"/>
      <c r="G64" s="33"/>
    </row>
    <row r="65" spans="2:7" ht="15" customHeight="1" x14ac:dyDescent="0.2">
      <c r="B65" s="310"/>
      <c r="C65" s="296"/>
      <c r="D65" s="33"/>
      <c r="E65" s="33"/>
      <c r="F65" s="34"/>
      <c r="G65" s="33"/>
    </row>
    <row r="66" spans="2:7" ht="15" customHeight="1" x14ac:dyDescent="0.2">
      <c r="B66" s="310"/>
      <c r="C66" s="296"/>
      <c r="D66" s="33"/>
      <c r="E66" s="33"/>
      <c r="F66" s="34"/>
      <c r="G66" s="33"/>
    </row>
    <row r="67" spans="2:7" ht="15" customHeight="1" x14ac:dyDescent="0.2">
      <c r="B67" s="310"/>
      <c r="C67" s="296"/>
      <c r="D67" s="33"/>
      <c r="E67" s="33"/>
      <c r="F67" s="34"/>
      <c r="G67" s="33"/>
    </row>
    <row r="68" spans="2:7" ht="15" customHeight="1" x14ac:dyDescent="0.2">
      <c r="B68" s="310"/>
      <c r="C68" s="296"/>
      <c r="D68" s="33"/>
      <c r="E68" s="33"/>
      <c r="F68" s="34"/>
      <c r="G68" s="33"/>
    </row>
    <row r="69" spans="2:7" ht="15" customHeight="1" x14ac:dyDescent="0.2">
      <c r="B69" s="310"/>
      <c r="C69" s="296"/>
      <c r="D69" s="33"/>
      <c r="E69" s="33"/>
      <c r="F69" s="34"/>
      <c r="G69" s="33"/>
    </row>
    <row r="70" spans="2:7" ht="15" customHeight="1" x14ac:dyDescent="0.2">
      <c r="B70" s="310"/>
      <c r="C70" s="296"/>
      <c r="D70" s="33"/>
      <c r="E70" s="33"/>
      <c r="F70" s="34"/>
      <c r="G70" s="33"/>
    </row>
  </sheetData>
  <mergeCells count="44">
    <mergeCell ref="B63:C63"/>
    <mergeCell ref="B70:C70"/>
    <mergeCell ref="B69:C69"/>
    <mergeCell ref="B60:C60"/>
    <mergeCell ref="B61:C61"/>
    <mergeCell ref="B62:C62"/>
    <mergeCell ref="B67:C67"/>
    <mergeCell ref="B68:C68"/>
    <mergeCell ref="B64:C64"/>
    <mergeCell ref="B65:C65"/>
    <mergeCell ref="B66:C66"/>
    <mergeCell ref="B57:C57"/>
    <mergeCell ref="B58:C58"/>
    <mergeCell ref="B59:C59"/>
    <mergeCell ref="B54:C54"/>
    <mergeCell ref="B55:C55"/>
    <mergeCell ref="B56:C56"/>
    <mergeCell ref="B52:C52"/>
    <mergeCell ref="B53:C53"/>
    <mergeCell ref="B48:C48"/>
    <mergeCell ref="B49:C49"/>
    <mergeCell ref="B50:C50"/>
    <mergeCell ref="B45:C45"/>
    <mergeCell ref="B46:C46"/>
    <mergeCell ref="B47:C47"/>
    <mergeCell ref="B39:C39"/>
    <mergeCell ref="B51:C51"/>
    <mergeCell ref="M40:M44"/>
    <mergeCell ref="B40:C40"/>
    <mergeCell ref="B41:C41"/>
    <mergeCell ref="B42:C42"/>
    <mergeCell ref="B43:C43"/>
    <mergeCell ref="B44:C44"/>
    <mergeCell ref="B1:B2"/>
    <mergeCell ref="B4:B5"/>
    <mergeCell ref="B7:B8"/>
    <mergeCell ref="B10:B11"/>
    <mergeCell ref="B14:B15"/>
    <mergeCell ref="B17:B18"/>
    <mergeCell ref="M20:M22"/>
    <mergeCell ref="B21:B22"/>
    <mergeCell ref="D21:E21"/>
    <mergeCell ref="F21:G21"/>
    <mergeCell ref="I21:K21"/>
  </mergeCell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3AE904F79924C86AFE02AF453E6F7" ma:contentTypeVersion="3" ma:contentTypeDescription="Crée un document." ma:contentTypeScope="" ma:versionID="565221136b1f305906845b373070fbea">
  <xsd:schema xmlns:xsd="http://www.w3.org/2001/XMLSchema" xmlns:xs="http://www.w3.org/2001/XMLSchema" xmlns:p="http://schemas.microsoft.com/office/2006/metadata/properties" xmlns:ns2="ccf007e3-9338-4156-b131-b79ac390f2f8" targetNamespace="http://schemas.microsoft.com/office/2006/metadata/properties" ma:root="true" ma:fieldsID="fda142d1c2f576ac88817e034c889e00" ns2:_="">
    <xsd:import namespace="ccf007e3-9338-4156-b131-b79ac390f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007e3-9338-4156-b131-b79ac390f2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42A2B6-1B9D-460B-97BF-E0767D63F44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cf007e3-9338-4156-b131-b79ac390f2f8"/>
  </ds:schemaRefs>
</ds:datastoreItem>
</file>

<file path=customXml/itemProps2.xml><?xml version="1.0" encoding="utf-8"?>
<ds:datastoreItem xmlns:ds="http://schemas.openxmlformats.org/officeDocument/2006/customXml" ds:itemID="{65956E35-70FB-42B0-86B8-E80BD6216114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2B5780C0-8CD1-4D44-83B1-B8CB6967F8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Janvier 2026</vt:lpstr>
      <vt:lpstr>Février 2026</vt:lpstr>
      <vt:lpstr>Mars 2026</vt:lpstr>
      <vt:lpstr>Avril 2026</vt:lpstr>
      <vt:lpstr>Mai 2026</vt:lpstr>
      <vt:lpstr>Juin 2026</vt:lpstr>
      <vt:lpstr>Juillet 2026</vt:lpstr>
      <vt:lpstr>Août 2026</vt:lpstr>
      <vt:lpstr>Septembre 2026</vt:lpstr>
      <vt:lpstr>Octobre 2026</vt:lpstr>
      <vt:lpstr>Novembre 2026</vt:lpstr>
      <vt:lpstr>Décembre 2026</vt:lpstr>
      <vt:lpstr>Codes couleur</vt:lpstr>
      <vt:lpstr>Récap par Tech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Alexis BESSE</cp:lastModifiedBy>
  <cp:revision/>
  <dcterms:created xsi:type="dcterms:W3CDTF">2025-09-08T14:56:00Z</dcterms:created>
  <dcterms:modified xsi:type="dcterms:W3CDTF">2026-05-13T15:46:56Z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0x0101005663AE904F79924C86AFE02AF453E6F7</vt:lpwstr>
  </property>
  <property fmtid="{D5CDD505-2E9C-101B-9397-08002B2CF9AE}" pid="3" name="Order">
    <vt:r8>1800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